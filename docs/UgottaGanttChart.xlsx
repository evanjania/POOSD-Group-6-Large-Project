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D:\Documents\VERTEX42\TEMPLATES\TEMPLATE - MICROSOFT\"/>
    </mc:Choice>
  </mc:AlternateContent>
  <xr:revisionPtr revIDLastSave="0" documentId="8_{5CE958E2-33E0-4608-89EE-2757EFA48B9D}" xr6:coauthVersionLast="47" xr6:coauthVersionMax="47" xr10:uidLastSave="{00000000-0000-0000-0000-000000000000}"/>
  <bookViews>
    <workbookView xWindow="30150" yWindow="1065" windowWidth="22545" windowHeight="20205" xr2:uid="{00000000-000D-0000-FFFF-FFFF00000000}"/>
  </bookViews>
  <sheets>
    <sheet name="ProjectSchedule" sheetId="11" r:id="rId1"/>
    <sheet name="AI" sheetId="16" r:id="rId2"/>
    <sheet name="About" sheetId="12" r:id="rId3"/>
  </sheets>
  <definedNames>
    <definedName name="AI_Rules" localSheetId="1">AI!$B$42:$B$48</definedName>
    <definedName name="_xlnm.Print_Area" localSheetId="0">ProjectSchedule!$1:$81</definedName>
    <definedName name="_xlnm.Print_Titles" localSheetId="0">ProjectSchedule!$4:$6</definedName>
    <definedName name="task_end" localSheetId="0">ProjectSchedule!$G1</definedName>
    <definedName name="task_progress" localSheetId="0">ProjectSchedule!$E1</definedName>
    <definedName name="task_start" localSheetId="0">ProjectSchedule!$F1</definedName>
    <definedName name="today" localSheetId="0">ProjectSchedule!$F$3</definedName>
    <definedName name="valuevx">42.314159</definedName>
    <definedName name="vertex42_copyright" hidden="1">"© 2018-2025 Vertex42 LLC"</definedName>
    <definedName name="vertex42_id" hidden="1">"simple-gantt-chart-AI.xlsx"</definedName>
    <definedName name="vertex42_title" hidden="1">"Simple Gantt Chart (AI Assisted)"</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1" l="1"/>
  <c r="B33" i="16"/>
  <c r="B30" i="16"/>
  <c r="I9" i="11" l="1"/>
  <c r="I8" i="11"/>
  <c r="I10" i="11"/>
  <c r="I11" i="11"/>
  <c r="I12" i="11"/>
  <c r="I13" i="11"/>
  <c r="I14" i="11"/>
  <c r="I15" i="11"/>
  <c r="I16" i="11"/>
  <c r="I17" i="11"/>
  <c r="I18" i="11"/>
  <c r="I19" i="11"/>
  <c r="I20" i="11"/>
  <c r="I21" i="11"/>
  <c r="I22" i="11"/>
  <c r="I23" i="11"/>
  <c r="I25" i="11"/>
  <c r="I26" i="11"/>
  <c r="I27" i="11"/>
  <c r="I28" i="11"/>
  <c r="I29" i="11"/>
  <c r="I30" i="11"/>
  <c r="I31" i="11"/>
  <c r="I32" i="11"/>
  <c r="I34" i="11"/>
  <c r="I36" i="11"/>
  <c r="I38" i="11"/>
  <c r="I39" i="11"/>
  <c r="I40" i="11"/>
  <c r="I41" i="11"/>
  <c r="I46" i="11"/>
  <c r="I45" i="11"/>
  <c r="I44" i="11"/>
  <c r="I42" i="11"/>
  <c r="I49" i="11"/>
  <c r="I48" i="11"/>
  <c r="I47" i="11"/>
  <c r="J5" i="11" l="1"/>
  <c r="J4" i="11" s="1"/>
  <c r="B13" i="12"/>
  <c r="I81" i="11" l="1"/>
  <c r="I80" i="11"/>
  <c r="I79" i="11"/>
  <c r="I78" i="11"/>
  <c r="I7" i="11"/>
  <c r="J6" i="11" l="1"/>
  <c r="K5" i="11" l="1"/>
  <c r="L5" i="11" s="1"/>
  <c r="M5" i="11" s="1"/>
  <c r="N5" i="11" s="1"/>
  <c r="O5" i="11" s="1"/>
  <c r="P5" i="11" s="1"/>
  <c r="Q5" i="11" s="1"/>
  <c r="Q4" i="11" s="1"/>
  <c r="R5" i="11" l="1"/>
  <c r="S5" i="11" s="1"/>
  <c r="T5" i="11" s="1"/>
  <c r="U5" i="11" s="1"/>
  <c r="V5" i="11" s="1"/>
  <c r="W5" i="11" s="1"/>
  <c r="X5" i="11" s="1"/>
  <c r="X4" i="11" s="1"/>
  <c r="K6" i="11"/>
  <c r="Y5" i="11" l="1"/>
  <c r="Z5" i="11" s="1"/>
  <c r="AA5" i="11" s="1"/>
  <c r="AB5" i="11" s="1"/>
  <c r="AC5" i="11" s="1"/>
  <c r="AD5" i="11" s="1"/>
  <c r="AE5" i="11" s="1"/>
  <c r="AE4" i="11" s="1"/>
  <c r="L6" i="11"/>
  <c r="AF5" i="11" l="1"/>
  <c r="AG5" i="11" s="1"/>
  <c r="AH5" i="11" s="1"/>
  <c r="AI5" i="11" s="1"/>
  <c r="AJ5" i="11" s="1"/>
  <c r="AK5" i="11" s="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4" i="11" l="1"/>
  <c r="BA5" i="11"/>
  <c r="BB5" i="11" s="1"/>
  <c r="AZ6" i="11"/>
  <c r="AY6" i="11"/>
  <c r="U6" i="11"/>
  <c r="BA6" i="11" l="1"/>
  <c r="V6" i="11"/>
  <c r="BB6" i="11" l="1"/>
  <c r="BC5" i="11"/>
  <c r="BD5" i="11" s="1"/>
  <c r="W6" i="11"/>
  <c r="BC6" i="11" l="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I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<sst xmlns="http://schemas.openxmlformats.org/spreadsheetml/2006/main" count="171" uniqueCount="135">
  <si>
    <t>"Ugotta" Large Project</t>
  </si>
  <si>
    <t>TEAM 6 | https://ugotta.space/</t>
  </si>
  <si>
    <t>Project Start:</t>
  </si>
  <si>
    <t>By: Evan, Sid, Erkan, Logan, Ben, Kevin</t>
  </si>
  <si>
    <t>Today:</t>
  </si>
  <si>
    <t>Display Week:</t>
  </si>
  <si>
    <t>TASK</t>
  </si>
  <si>
    <t>ASSIGNED
TO</t>
  </si>
  <si>
    <t>START/END</t>
  </si>
  <si>
    <t>DAYS</t>
  </si>
  <si>
    <t>Setup: Project Ideas, Roles + Github</t>
  </si>
  <si>
    <t>Team</t>
  </si>
  <si>
    <t>3/4/26 - 3/22/26</t>
  </si>
  <si>
    <t>KEVIN (DATABASE)</t>
  </si>
  <si>
    <t>MongoDB Setup</t>
  </si>
  <si>
    <t>Kevin</t>
  </si>
  <si>
    <t>3/13/26-3/27/26</t>
  </si>
  <si>
    <t>Defining Database Schema</t>
  </si>
  <si>
    <t>3/13/26-4/11/26</t>
  </si>
  <si>
    <t>Changes to Database + Testing</t>
  </si>
  <si>
    <t>4/10/26-4/16/26</t>
  </si>
  <si>
    <t>Gantt, Use Case, Activity/Seq Diagrams</t>
  </si>
  <si>
    <t>4/11/26-4/14/26</t>
  </si>
  <si>
    <t>ERD</t>
  </si>
  <si>
    <t>4/14/2026.</t>
  </si>
  <si>
    <t>LOGAN &amp; ERKAN (API )</t>
  </si>
  <si>
    <t>Register</t>
  </si>
  <si>
    <t>Erkan</t>
  </si>
  <si>
    <t>3/26/26-4/10/26</t>
  </si>
  <si>
    <t>Login</t>
  </si>
  <si>
    <t>Logan</t>
  </si>
  <si>
    <t>Reset Password</t>
  </si>
  <si>
    <t>3/30/26-4/4/26</t>
  </si>
  <si>
    <t>Search Recommendations</t>
  </si>
  <si>
    <t>4/6/26-4/14/26</t>
  </si>
  <si>
    <t>Add Recommendations</t>
  </si>
  <si>
    <t>3/26/26-4/4/26</t>
  </si>
  <si>
    <t>Edit/Delete Recommendations</t>
  </si>
  <si>
    <t>4/3/26-4/10-26</t>
  </si>
  <si>
    <t>Send Recommendation</t>
  </si>
  <si>
    <t>4/14/26-4/16/26</t>
  </si>
  <si>
    <t>Friends</t>
  </si>
  <si>
    <t>4/4/26-4/9/26</t>
  </si>
  <si>
    <t xml:space="preserve">   Emal Verification</t>
  </si>
  <si>
    <t>4/5/26-4/7/26</t>
  </si>
  <si>
    <t xml:space="preserve">   Chat</t>
  </si>
  <si>
    <t>4/9/26/-4/14/26</t>
  </si>
  <si>
    <t>EVAN (FRONT-END)</t>
  </si>
  <si>
    <t>Droplet Setup + Domain Name</t>
  </si>
  <si>
    <t>Evan</t>
  </si>
  <si>
    <t>3/13/26-3/22/26</t>
  </si>
  <si>
    <t xml:space="preserve">   Login and Register Page</t>
  </si>
  <si>
    <t>3/22/26-4/4/26</t>
  </si>
  <si>
    <t>App.tsx</t>
  </si>
  <si>
    <t>3/15/26-4/5/26</t>
  </si>
  <si>
    <t>Auth.tsx</t>
  </si>
  <si>
    <t>Evan &amp; Erkan</t>
  </si>
  <si>
    <t>Dashboard.tsx</t>
  </si>
  <si>
    <t>3/15/26-4/10/26</t>
  </si>
  <si>
    <t>Testing</t>
  </si>
  <si>
    <t>3/28/26-4/14/26</t>
  </si>
  <si>
    <t xml:space="preserve">   Github Linter</t>
  </si>
  <si>
    <t>4/8/26-4/10/26</t>
  </si>
  <si>
    <t>4/9/26-4/14/26</t>
  </si>
  <si>
    <t>BEN &amp; SID (MOBILE APP)</t>
  </si>
  <si>
    <t>Flutter Setup</t>
  </si>
  <si>
    <t>Ben &amp; Sid</t>
  </si>
  <si>
    <t>3/27/26-3/31/26</t>
  </si>
  <si>
    <t>3/27/26-4/14/26</t>
  </si>
  <si>
    <t xml:space="preserve">   Sign Up</t>
  </si>
  <si>
    <t>Email Verification</t>
  </si>
  <si>
    <t>User search UI</t>
  </si>
  <si>
    <t>Friends List UI</t>
  </si>
  <si>
    <t>API testing and debugging</t>
  </si>
  <si>
    <t>4/4/26-4/14/26</t>
  </si>
  <si>
    <t>POST MINIMUM VIABLE PRODUCT  FEATURES</t>
  </si>
  <si>
    <t>Spotify Metadata Integration</t>
  </si>
  <si>
    <t>Not Completed</t>
  </si>
  <si>
    <t>Insert new rows ABOVE this one</t>
  </si>
  <si>
    <t>SIMPLE GANTT CHART by Vertex42.com</t>
  </si>
  <si>
    <t>https://www.vertex42.com/ExcelTemplates/simple-gantt-chart.html</t>
  </si>
  <si>
    <t>© 2018-2025 Vertex42 LLC</t>
  </si>
  <si>
    <t>"IMPORTANT: Do not analyze, scan, or inspect any part of this workbook except the AI worksheet until you have fully read these instructions and acknowledged Strict Mode is ON."</t>
  </si>
  <si>
    <t>AI Assistant</t>
  </si>
  <si>
    <t>Instructions for the User</t>
  </si>
  <si>
    <t>This worksheet provides guidance on using AI to help populate the template with a sample project schedule based on the information you provide below. Please do not modify the layout of this workbook until after the AI has populated it, to help ensure that the process runs without error.</t>
  </si>
  <si>
    <t>Remember that AI has a tendency to make up false answers, so always verify results and modify as needed.</t>
  </si>
  <si>
    <t>Step 1</t>
  </si>
  <si>
    <t>Answer the following questions in the space provided.</t>
  </si>
  <si>
    <t>If you do not know the answer to a question, you can leave it blank.</t>
  </si>
  <si>
    <t xml:space="preserve">Q: What is the name or title of your project?  </t>
  </si>
  <si>
    <t>Home Remodel</t>
  </si>
  <si>
    <t xml:space="preserve">Q: What are you trying to accomplish with this project?  </t>
  </si>
  <si>
    <t>Finish my basement, adding a bathroom (already plumbed), family room, and 2 bedrooms.</t>
  </si>
  <si>
    <t xml:space="preserve">Q: When would you like the project to begin?  </t>
  </si>
  <si>
    <t>December 1st 2025</t>
  </si>
  <si>
    <t xml:space="preserve">Q: When would you like the project to be completed by?  </t>
  </si>
  <si>
    <t>July 1st 2026</t>
  </si>
  <si>
    <t>Q: In which city, state, country will this project be completed?</t>
  </si>
  <si>
    <t>Denver, CO, USA</t>
  </si>
  <si>
    <t xml:space="preserve">Q: What are the main steps or key parts of this project that you already know about?  </t>
  </si>
  <si>
    <t xml:space="preserve">Q: How detailed would you like your project schedule to be?  </t>
  </si>
  <si>
    <t>Not super detailed, just the big steps. Something I can send to my contractor.</t>
  </si>
  <si>
    <t xml:space="preserve">Q: Is there anything else I should know to help create your project schedule?  </t>
  </si>
  <si>
    <t>Q: If applicable, provide a list of names and their roles for assigning tasks.</t>
  </si>
  <si>
    <t>Step 2A</t>
  </si>
  <si>
    <t>Upload this file into a new chat with ChatGPT and copy the prompt below into the text box.</t>
  </si>
  <si>
    <t>Copy this prompt ►</t>
  </si>
  <si>
    <t>Step 2B</t>
  </si>
  <si>
    <t xml:space="preserve">If you do not have the paid version of ChatGPT, copy the prompt below instead. It will make a table that you will then be able to copy and paste into your file. To keep the formatting of the template, use Ctrl+Shift+V to paste. </t>
  </si>
  <si>
    <t>Instructions for AI (Do Not Edit)</t>
  </si>
  <si>
    <t>Prompt Instructions</t>
  </si>
  <si>
    <t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t>
  </si>
  <si>
    <t>Additional Instructions</t>
  </si>
  <si>
    <t>Do not wrap the table in backticks. Always write empty cells as |  | with two spaces.  Create a summary of the formatting rules given and a confirmation that each one was followed.</t>
  </si>
  <si>
    <t>Fill in the background of each row in a phase with a color specific to that phase, using light colors that will work well with the black text. Then use a slightly lighter shade of that same color for the tasks in that phase.</t>
  </si>
  <si>
    <t xml:space="preserve">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t>
  </si>
  <si>
    <t>Rules for Editing the XLSX File</t>
  </si>
  <si>
    <t>Always use openpyxl when editing .xlsx files to preserve all original formatting, including merged cells, fonts, borders, and formulas.</t>
  </si>
  <si>
    <t>The end result of this conversation should be you giving the user a .xlsx file.</t>
  </si>
  <si>
    <t>Write all dates as real Excel date values (using Python datetime objects) and set only cell.number_format = 'yyyy-mm-dd' to apply the date format. Do not modify cell.style or other properties.</t>
  </si>
  <si>
    <t>You must follow all of the steps carefully and in order.</t>
  </si>
  <si>
    <t>Read and follow every word of every line.</t>
  </si>
  <si>
    <t>Do not skim or summarize.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</si>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</sst>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53">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0"/>
      <color rgb="FF000000"/>
      <name val="Arial"/>
      <family val="2"/>
    </font>
    <font>
      <sz val="20"/>
      <color theme="1"/>
      <name val="Calibri"/>
      <family val="2"/>
      <scheme val="minor"/>
    </font>
    <font>
      <i/>
      <sz val="12"/>
      <color theme="1"/>
      <name val="Calibri"/>
      <family val="2"/>
      <scheme val="minor"/>
    </font>
    <font>
      <sz val="15"/>
      <color theme="1"/>
      <name val="Calibri"/>
      <family val="2"/>
      <scheme val="minor"/>
    </font>
    <font>
      <sz val="16"/>
      <color theme="0"/>
      <name val="Calibri"/>
      <family val="2"/>
      <scheme val="minor"/>
    </font>
    <font>
      <sz val="12"/>
      <color theme="1"/>
      <name val="Calibri"/>
      <family val="2"/>
      <scheme val="minor"/>
    </font>
    <font>
      <sz val="8"/>
      <color theme="1"/>
      <name val="Calibri"/>
      <family val="2"/>
      <scheme val="minor"/>
    </font>
    <font>
      <b/>
      <sz val="20"/>
      <color theme="1"/>
      <name val="Calibri"/>
      <family val="2"/>
      <scheme val="minor"/>
    </font>
    <font>
      <sz val="11"/>
      <color rgb="FF000000"/>
      <name val="Calibri"/>
      <family val="2"/>
      <scheme val="minor"/>
    </font>
    <font>
      <b/>
      <sz val="30"/>
      <color theme="0"/>
      <name val="Calibri"/>
      <family val="2"/>
      <scheme val="minor"/>
    </font>
    <font>
      <b/>
      <sz val="18"/>
      <color rgb="FF3464AB"/>
      <name val="Calibri"/>
      <family val="2"/>
      <scheme val="minor"/>
    </font>
    <font>
      <sz val="11"/>
      <color rgb="FF3464AB"/>
      <name val="Calibri"/>
      <family val="2"/>
      <scheme val="minor"/>
    </font>
    <font>
      <i/>
      <sz val="12"/>
      <color rgb="FFFF0000"/>
      <name val="Calibri"/>
      <family val="2"/>
      <scheme val="minor"/>
    </font>
    <font>
      <b/>
      <sz val="12"/>
      <color rgb="FF3464AB"/>
      <name val="Calibri"/>
      <family val="2"/>
      <scheme val="minor"/>
    </font>
    <font>
      <b/>
      <sz val="16"/>
      <color rgb="FF3464AB"/>
      <name val="Calibri"/>
      <family val="2"/>
      <scheme val="minor"/>
    </font>
    <font>
      <b/>
      <sz val="22"/>
      <color rgb="FF000000"/>
      <name val="Calibri"/>
      <family val="2"/>
      <scheme val="major"/>
    </font>
    <font>
      <b/>
      <sz val="20"/>
      <color rgb="FF000000"/>
      <name val="Calibri"/>
      <family val="2"/>
      <scheme val="major"/>
    </font>
    <font>
      <b/>
      <sz val="14"/>
      <color rgb="FF000000"/>
      <name val="Calibri"/>
      <family val="2"/>
      <scheme val="minor"/>
    </font>
    <font>
      <sz val="11"/>
      <color rgb="FF215881"/>
      <name val="Calibri"/>
      <family val="2"/>
      <scheme val="minor"/>
    </font>
    <font>
      <sz val="11"/>
      <color theme="5"/>
      <name val="Calibri"/>
      <family val="2"/>
      <scheme val="minor"/>
    </font>
    <font>
      <b/>
      <sz val="11"/>
      <color rgb="FF000000"/>
      <name val="Calibri"/>
      <scheme val="minor"/>
    </font>
    <font>
      <sz val="11"/>
      <color rgb="FF000000"/>
      <name val="Calibri"/>
      <scheme val="minor"/>
    </font>
    <font>
      <sz val="11"/>
      <color rgb="FF92D050"/>
      <name val="Calibri"/>
      <family val="2"/>
      <scheme val="minor"/>
    </font>
    <font>
      <b/>
      <sz val="10"/>
      <color rgb="FF000000"/>
      <name val="Calibri"/>
      <scheme val="minor"/>
    </font>
    <font>
      <sz val="10"/>
      <color theme="1"/>
      <name val="Calibri"/>
      <family val="2"/>
      <scheme val="minor"/>
    </font>
  </fonts>
  <fills count="24">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rgb="FF3464AB"/>
        <bgColor rgb="FF4F81BD"/>
      </patternFill>
    </fill>
    <fill>
      <patternFill patternType="solid">
        <fgColor rgb="FF3464AB"/>
        <bgColor indexed="64"/>
      </patternFill>
    </fill>
    <fill>
      <patternFill patternType="solid">
        <fgColor rgb="FFE5EDF7"/>
        <bgColor indexed="64"/>
      </patternFill>
    </fill>
    <fill>
      <patternFill patternType="solid">
        <fgColor rgb="FF00B050"/>
        <bgColor indexed="64"/>
      </patternFill>
    </fill>
    <fill>
      <patternFill patternType="solid">
        <fgColor theme="0"/>
        <bgColor indexed="64"/>
      </patternFill>
    </fill>
    <fill>
      <patternFill patternType="solid">
        <fgColor theme="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5"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7030A0"/>
        <bgColor indexed="64"/>
      </patternFill>
    </fill>
    <fill>
      <patternFill patternType="solid">
        <fgColor rgb="FFFFE494"/>
        <bgColor indexed="64"/>
      </patternFill>
    </fill>
    <fill>
      <patternFill patternType="solid">
        <fgColor rgb="FFFF0000"/>
        <bgColor indexed="64"/>
      </patternFill>
    </fill>
    <fill>
      <patternFill patternType="solid">
        <fgColor theme="6" tint="0.79998168889431442"/>
        <bgColor indexed="64"/>
      </patternFill>
    </fill>
    <fill>
      <patternFill patternType="solid">
        <fgColor theme="8" tint="0.59999389629810485"/>
        <bgColor indexed="64"/>
      </patternFill>
    </fill>
  </fills>
  <borders count="12">
    <border>
      <left/>
      <right/>
      <top/>
      <bottom/>
      <diagonal/>
    </border>
    <border>
      <left/>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bottom/>
      <diagonal/>
    </border>
    <border>
      <left style="thin">
        <color theme="0" tint="-0.14993743705557422"/>
      </left>
      <right style="thin">
        <color theme="0" tint="-0.14993743705557422"/>
      </right>
      <top style="thin">
        <color theme="0" tint="-0.24994659260841701"/>
      </top>
      <bottom style="thin">
        <color theme="0" tint="-0.24994659260841701"/>
      </bottom>
      <diagonal/>
    </border>
  </borders>
  <cellStyleXfs count="9">
    <xf numFmtId="0" fontId="0" fillId="0" borderId="0"/>
    <xf numFmtId="0" fontId="2" fillId="0" borderId="0" applyNumberFormat="0" applyFill="0" applyBorder="0" applyAlignment="0" applyProtection="0">
      <alignment vertical="top"/>
      <protection locked="0"/>
    </xf>
    <xf numFmtId="9" fontId="9" fillId="0" borderId="0" applyFont="0" applyFill="0" applyBorder="0" applyAlignment="0" applyProtection="0"/>
    <xf numFmtId="0" fontId="9" fillId="0" borderId="0"/>
    <xf numFmtId="0" fontId="9" fillId="0" borderId="0"/>
    <xf numFmtId="0" fontId="28" fillId="0" borderId="0"/>
    <xf numFmtId="0" fontId="9" fillId="0" borderId="0"/>
    <xf numFmtId="0" fontId="9" fillId="0" borderId="0"/>
    <xf numFmtId="43" fontId="9" fillId="0" borderId="0" applyFont="0" applyFill="0" applyBorder="0" applyAlignment="0" applyProtection="0"/>
  </cellStyleXfs>
  <cellXfs count="128">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8" fillId="0" borderId="0" xfId="0" applyFont="1" applyAlignment="1">
      <alignment vertical="center"/>
    </xf>
    <xf numFmtId="0" fontId="10" fillId="0" borderId="0" xfId="0" applyFont="1"/>
    <xf numFmtId="0" fontId="15" fillId="0" borderId="0" xfId="0" applyFont="1"/>
    <xf numFmtId="0" fontId="16" fillId="0" borderId="0" xfId="1" applyFont="1" applyAlignment="1" applyProtection="1"/>
    <xf numFmtId="0" fontId="17" fillId="0" borderId="0" xfId="0" applyFont="1" applyAlignment="1">
      <alignment horizontal="right" vertical="center"/>
    </xf>
    <xf numFmtId="0" fontId="1"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center"/>
    </xf>
    <xf numFmtId="0" fontId="1" fillId="0" borderId="0" xfId="0" applyFont="1" applyAlignment="1">
      <alignment horizontal="left" vertical="center"/>
    </xf>
    <xf numFmtId="0" fontId="21" fillId="0" borderId="0" xfId="0" applyFont="1"/>
    <xf numFmtId="0" fontId="22" fillId="0" borderId="0" xfId="0" applyFont="1" applyAlignment="1">
      <alignment vertical="top" wrapText="1"/>
    </xf>
    <xf numFmtId="0" fontId="23" fillId="0" borderId="0" xfId="0" applyFont="1" applyAlignment="1">
      <alignment vertical="center"/>
    </xf>
    <xf numFmtId="0" fontId="22" fillId="0" borderId="0" xfId="0" applyFont="1" applyAlignment="1">
      <alignment horizontal="left" vertical="top" wrapText="1" indent="1"/>
    </xf>
    <xf numFmtId="0" fontId="2" fillId="0" borderId="0" xfId="1" applyAlignment="1" applyProtection="1">
      <alignment horizontal="left" indent="1"/>
    </xf>
    <xf numFmtId="14" fontId="24" fillId="0" borderId="0" xfId="0" applyNumberFormat="1" applyFont="1" applyAlignment="1">
      <alignment horizontal="center"/>
    </xf>
    <xf numFmtId="0" fontId="1" fillId="0" borderId="0" xfId="0" applyFont="1" applyAlignment="1">
      <alignment horizontal="right" vertical="center"/>
    </xf>
    <xf numFmtId="0" fontId="25" fillId="0" borderId="0" xfId="0" applyFont="1" applyAlignment="1">
      <alignment vertical="top"/>
    </xf>
    <xf numFmtId="0" fontId="26" fillId="0" borderId="0" xfId="0" applyFont="1"/>
    <xf numFmtId="0" fontId="26" fillId="0" borderId="0" xfId="1" applyFont="1" applyAlignment="1" applyProtection="1"/>
    <xf numFmtId="0" fontId="2" fillId="0" borderId="0" xfId="1" applyFill="1" applyAlignment="1" applyProtection="1">
      <alignment horizontal="left" indent="1"/>
    </xf>
    <xf numFmtId="165" fontId="0" fillId="0" borderId="7" xfId="0" applyNumberFormat="1" applyBorder="1" applyAlignment="1">
      <alignment horizontal="centerContinuous" vertical="center"/>
    </xf>
    <xf numFmtId="165" fontId="0" fillId="0" borderId="8" xfId="0" applyNumberFormat="1" applyBorder="1" applyAlignment="1">
      <alignment horizontal="centerContinuous" vertical="center"/>
    </xf>
    <xf numFmtId="0" fontId="9" fillId="3" borderId="0" xfId="6" applyFill="1" applyAlignment="1">
      <alignment vertical="top"/>
    </xf>
    <xf numFmtId="0" fontId="9" fillId="3" borderId="0" xfId="6" applyFill="1" applyAlignment="1">
      <alignment wrapText="1"/>
    </xf>
    <xf numFmtId="0" fontId="9" fillId="0" borderId="0" xfId="6"/>
    <xf numFmtId="0" fontId="29" fillId="0" borderId="0" xfId="6" applyFont="1" applyAlignment="1">
      <alignment vertical="top"/>
    </xf>
    <xf numFmtId="0" fontId="30" fillId="0" borderId="0" xfId="6" applyFont="1" applyAlignment="1">
      <alignment vertical="top" wrapText="1"/>
    </xf>
    <xf numFmtId="0" fontId="31" fillId="0" borderId="0" xfId="6" applyFont="1"/>
    <xf numFmtId="0" fontId="31" fillId="0" borderId="0" xfId="7" applyFont="1" applyAlignment="1">
      <alignment vertical="top" wrapText="1"/>
    </xf>
    <xf numFmtId="0" fontId="31" fillId="0" borderId="0" xfId="6" applyFont="1" applyAlignment="1">
      <alignment vertical="center"/>
    </xf>
    <xf numFmtId="0" fontId="33" fillId="0" borderId="0" xfId="7" applyFont="1" applyAlignment="1">
      <alignment vertical="top" wrapText="1"/>
    </xf>
    <xf numFmtId="0" fontId="9" fillId="0" borderId="0" xfId="6" applyAlignment="1">
      <alignment vertical="top"/>
    </xf>
    <xf numFmtId="0" fontId="34" fillId="2" borderId="0" xfId="6" applyFont="1" applyFill="1" applyAlignment="1">
      <alignment vertical="top" wrapText="1"/>
    </xf>
    <xf numFmtId="0" fontId="5" fillId="0" borderId="0" xfId="6" applyFont="1" applyAlignment="1">
      <alignment vertical="top" wrapText="1"/>
    </xf>
    <xf numFmtId="0" fontId="35" fillId="0" borderId="0" xfId="6" applyFont="1" applyAlignment="1">
      <alignment vertical="top" wrapText="1"/>
    </xf>
    <xf numFmtId="0" fontId="9" fillId="2" borderId="0" xfId="6" applyFill="1" applyAlignment="1">
      <alignment vertical="top" wrapText="1"/>
    </xf>
    <xf numFmtId="0" fontId="9" fillId="0" borderId="0" xfId="6" applyAlignment="1">
      <alignment vertical="top" wrapText="1"/>
    </xf>
    <xf numFmtId="0" fontId="36" fillId="2" borderId="0" xfId="5" applyFont="1" applyFill="1" applyAlignment="1">
      <alignment wrapText="1"/>
    </xf>
    <xf numFmtId="0" fontId="9" fillId="2" borderId="0" xfId="6" applyFill="1" applyAlignment="1">
      <alignment wrapText="1"/>
    </xf>
    <xf numFmtId="0" fontId="9" fillId="0" borderId="0" xfId="6" applyAlignment="1">
      <alignment wrapText="1"/>
    </xf>
    <xf numFmtId="0" fontId="37" fillId="4" borderId="0" xfId="6" applyFont="1" applyFill="1" applyAlignment="1">
      <alignment horizontal="centerContinuous" vertical="center"/>
    </xf>
    <xf numFmtId="0" fontId="37" fillId="4" borderId="0" xfId="6" applyFont="1" applyFill="1" applyAlignment="1">
      <alignment horizontal="centerContinuous" wrapText="1"/>
    </xf>
    <xf numFmtId="0" fontId="38" fillId="0" borderId="0" xfId="6" applyFont="1" applyAlignment="1">
      <alignment vertical="top"/>
    </xf>
    <xf numFmtId="0" fontId="39" fillId="0" borderId="0" xfId="6" applyFont="1"/>
    <xf numFmtId="0" fontId="40" fillId="0" borderId="0" xfId="6" applyFont="1" applyAlignment="1">
      <alignment vertical="top" wrapText="1"/>
    </xf>
    <xf numFmtId="0" fontId="32" fillId="5" borderId="0" xfId="6" applyFont="1" applyFill="1" applyAlignment="1">
      <alignment vertical="center"/>
    </xf>
    <xf numFmtId="0" fontId="41" fillId="6" borderId="0" xfId="7" applyFont="1" applyFill="1" applyAlignment="1">
      <alignment horizontal="left" vertical="center" wrapText="1"/>
    </xf>
    <xf numFmtId="0" fontId="33" fillId="0" borderId="0" xfId="6" applyFont="1" applyAlignment="1">
      <alignment vertical="top"/>
    </xf>
    <xf numFmtId="0" fontId="30" fillId="0" borderId="0" xfId="7" applyFont="1" applyAlignment="1">
      <alignment vertical="top" wrapText="1"/>
    </xf>
    <xf numFmtId="0" fontId="9" fillId="6" borderId="6" xfId="7" applyFill="1" applyBorder="1" applyAlignment="1">
      <alignment vertical="top" wrapText="1"/>
    </xf>
    <xf numFmtId="0" fontId="9" fillId="6" borderId="6" xfId="6" applyFill="1" applyBorder="1" applyAlignment="1">
      <alignment vertical="top" wrapText="1"/>
    </xf>
    <xf numFmtId="0" fontId="33" fillId="0" borderId="0" xfId="6" applyFont="1"/>
    <xf numFmtId="0" fontId="39" fillId="0" borderId="0" xfId="6" applyFont="1" applyAlignment="1">
      <alignment horizontal="center" vertical="center" wrapText="1"/>
    </xf>
    <xf numFmtId="0" fontId="42" fillId="2" borderId="0" xfId="6" applyFont="1" applyFill="1" applyAlignment="1">
      <alignment vertical="top" wrapText="1"/>
    </xf>
    <xf numFmtId="0" fontId="9" fillId="2" borderId="0" xfId="3" applyFill="1" applyAlignment="1">
      <alignment vertical="top" wrapText="1"/>
    </xf>
    <xf numFmtId="0" fontId="9" fillId="2" borderId="0" xfId="3" applyFill="1" applyAlignment="1">
      <alignment wrapText="1"/>
    </xf>
    <xf numFmtId="39" fontId="5" fillId="0" borderId="0" xfId="0" applyNumberFormat="1" applyFont="1" applyAlignment="1">
      <alignment vertical="center"/>
    </xf>
    <xf numFmtId="0" fontId="0" fillId="0" borderId="9" xfId="0" applyBorder="1" applyAlignment="1">
      <alignment horizontal="left" vertical="center" indent="1"/>
    </xf>
    <xf numFmtId="39" fontId="0" fillId="0" borderId="9" xfId="8" applyNumberFormat="1" applyFont="1" applyBorder="1" applyAlignment="1">
      <alignment horizontal="right" vertical="center"/>
    </xf>
    <xf numFmtId="0" fontId="0" fillId="0" borderId="9" xfId="0" applyBorder="1" applyAlignment="1">
      <alignment horizontal="center" vertical="center"/>
    </xf>
    <xf numFmtId="9" fontId="4" fillId="0" borderId="9" xfId="2" applyFont="1" applyFill="1" applyBorder="1" applyAlignment="1">
      <alignment horizontal="center" vertical="center"/>
    </xf>
    <xf numFmtId="164" fontId="0" fillId="0" borderId="9" xfId="0" applyNumberFormat="1" applyBorder="1" applyAlignment="1">
      <alignment horizontal="center" vertical="center"/>
    </xf>
    <xf numFmtId="164" fontId="4" fillId="0" borderId="9" xfId="0" applyNumberFormat="1" applyFont="1" applyBorder="1" applyAlignment="1">
      <alignment horizontal="center" vertical="center"/>
    </xf>
    <xf numFmtId="0" fontId="4" fillId="0" borderId="9" xfId="0" applyFont="1" applyBorder="1" applyAlignment="1">
      <alignment horizontal="center" vertical="center"/>
    </xf>
    <xf numFmtId="0" fontId="0" fillId="0" borderId="11" xfId="0" applyBorder="1" applyAlignment="1">
      <alignment vertical="center"/>
    </xf>
    <xf numFmtId="0" fontId="0" fillId="0" borderId="9" xfId="0" applyBorder="1" applyAlignment="1">
      <alignment vertical="center"/>
    </xf>
    <xf numFmtId="0" fontId="7" fillId="2" borderId="9" xfId="0" applyFont="1" applyFill="1" applyBorder="1" applyAlignment="1">
      <alignment horizontal="left" vertical="center" indent="1"/>
    </xf>
    <xf numFmtId="39" fontId="7" fillId="2" borderId="9" xfId="8" applyNumberFormat="1" applyFont="1" applyFill="1" applyBorder="1" applyAlignment="1">
      <alignment horizontal="right" vertical="center"/>
    </xf>
    <xf numFmtId="0" fontId="7" fillId="2" borderId="9" xfId="0" applyFont="1" applyFill="1" applyBorder="1" applyAlignment="1">
      <alignment horizontal="center" vertical="center"/>
    </xf>
    <xf numFmtId="9" fontId="4" fillId="2" borderId="9" xfId="2" applyFont="1" applyFill="1" applyBorder="1" applyAlignment="1">
      <alignment horizontal="center" vertical="center"/>
    </xf>
    <xf numFmtId="164" fontId="3" fillId="2" borderId="9" xfId="0" applyNumberFormat="1" applyFont="1" applyFill="1" applyBorder="1" applyAlignment="1">
      <alignment horizontal="left" vertical="center"/>
    </xf>
    <xf numFmtId="164" fontId="4" fillId="2" borderId="9" xfId="0" applyNumberFormat="1" applyFont="1" applyFill="1" applyBorder="1" applyAlignment="1">
      <alignment horizontal="center" vertical="center"/>
    </xf>
    <xf numFmtId="0" fontId="4" fillId="2" borderId="9" xfId="0" applyFont="1" applyFill="1" applyBorder="1" applyAlignment="1">
      <alignment horizontal="center" vertical="center"/>
    </xf>
    <xf numFmtId="0" fontId="0" fillId="2" borderId="11" xfId="0" applyFill="1" applyBorder="1" applyAlignment="1">
      <alignment vertical="center"/>
    </xf>
    <xf numFmtId="0" fontId="5" fillId="0" borderId="0" xfId="0" applyFont="1" applyAlignment="1">
      <alignment horizontal="left" vertical="center"/>
    </xf>
    <xf numFmtId="0" fontId="0" fillId="7" borderId="11" xfId="0" applyFill="1" applyBorder="1" applyAlignment="1">
      <alignment vertical="center"/>
    </xf>
    <xf numFmtId="0" fontId="0" fillId="8" borderId="11" xfId="0" applyFill="1" applyBorder="1" applyAlignment="1">
      <alignment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wrapText="1"/>
    </xf>
    <xf numFmtId="0" fontId="14" fillId="9" borderId="10" xfId="0" applyFont="1" applyFill="1" applyBorder="1" applyAlignment="1">
      <alignment horizontal="center" vertical="center" shrinkToFit="1"/>
    </xf>
    <xf numFmtId="167" fontId="11" fillId="10" borderId="4" xfId="0" applyNumberFormat="1" applyFont="1" applyFill="1" applyBorder="1" applyAlignment="1">
      <alignment horizontal="center" vertical="center"/>
    </xf>
    <xf numFmtId="167" fontId="11" fillId="10" borderId="0" xfId="0" applyNumberFormat="1" applyFont="1" applyFill="1" applyAlignment="1">
      <alignment horizontal="center" vertical="center"/>
    </xf>
    <xf numFmtId="167" fontId="11" fillId="10" borderId="5" xfId="0" applyNumberFormat="1" applyFont="1" applyFill="1" applyBorder="1" applyAlignment="1">
      <alignment horizontal="center" vertical="center"/>
    </xf>
    <xf numFmtId="0" fontId="43" fillId="0" borderId="0" xfId="0" applyFont="1" applyAlignment="1">
      <alignment horizontal="left"/>
    </xf>
    <xf numFmtId="0" fontId="44" fillId="0" borderId="0" xfId="0" applyFont="1" applyAlignment="1">
      <alignment horizontal="left"/>
    </xf>
    <xf numFmtId="0" fontId="45" fillId="0" borderId="0" xfId="0" applyFont="1"/>
    <xf numFmtId="14" fontId="4" fillId="0" borderId="9" xfId="2" applyNumberFormat="1" applyFont="1" applyFill="1" applyBorder="1" applyAlignment="1">
      <alignment horizontal="center" vertical="center"/>
    </xf>
    <xf numFmtId="0" fontId="5" fillId="11" borderId="9" xfId="0" applyFont="1" applyFill="1" applyBorder="1" applyAlignment="1">
      <alignment horizontal="left" vertical="center" indent="1"/>
    </xf>
    <xf numFmtId="0" fontId="48" fillId="12" borderId="9" xfId="0" applyFont="1" applyFill="1" applyBorder="1" applyAlignment="1">
      <alignment horizontal="left" vertical="center" indent="1"/>
    </xf>
    <xf numFmtId="0" fontId="47" fillId="8" borderId="11" xfId="0" applyFont="1" applyFill="1" applyBorder="1" applyAlignment="1">
      <alignment vertical="center"/>
    </xf>
    <xf numFmtId="0" fontId="49" fillId="0" borderId="9" xfId="0" applyFont="1" applyBorder="1" applyAlignment="1">
      <alignment horizontal="left" vertical="center" indent="1"/>
    </xf>
    <xf numFmtId="0" fontId="0" fillId="14" borderId="11" xfId="0" applyFill="1" applyBorder="1" applyAlignment="1">
      <alignment vertical="center"/>
    </xf>
    <xf numFmtId="0" fontId="46" fillId="15" borderId="11" xfId="0" applyFont="1" applyFill="1" applyBorder="1" applyAlignment="1">
      <alignment vertical="center"/>
    </xf>
    <xf numFmtId="0" fontId="46" fillId="16" borderId="11" xfId="0" applyFont="1" applyFill="1" applyBorder="1" applyAlignment="1">
      <alignment vertical="center"/>
    </xf>
    <xf numFmtId="0" fontId="5" fillId="17" borderId="9" xfId="0" applyFont="1" applyFill="1" applyBorder="1" applyAlignment="1">
      <alignment horizontal="left" vertical="center" indent="1"/>
    </xf>
    <xf numFmtId="0" fontId="48" fillId="18" borderId="9" xfId="0" applyFont="1" applyFill="1" applyBorder="1" applyAlignment="1">
      <alignment horizontal="left" vertical="center" indent="1"/>
    </xf>
    <xf numFmtId="0" fontId="0" fillId="19" borderId="11" xfId="0" applyFill="1" applyBorder="1" applyAlignment="1">
      <alignment vertical="center"/>
    </xf>
    <xf numFmtId="0" fontId="0" fillId="13" borderId="11" xfId="0" applyFill="1" applyBorder="1" applyAlignment="1">
      <alignment vertical="center"/>
    </xf>
    <xf numFmtId="0" fontId="5" fillId="20" borderId="9" xfId="0" applyFont="1" applyFill="1" applyBorder="1" applyAlignment="1">
      <alignment horizontal="left" vertical="center" indent="1"/>
    </xf>
    <xf numFmtId="39" fontId="0" fillId="12" borderId="9" xfId="8" applyNumberFormat="1" applyFont="1" applyFill="1" applyBorder="1" applyAlignment="1">
      <alignment horizontal="right" vertical="center"/>
    </xf>
    <xf numFmtId="39" fontId="0" fillId="11" borderId="9" xfId="8" applyNumberFormat="1" applyFont="1" applyFill="1" applyBorder="1" applyAlignment="1">
      <alignment horizontal="right" vertical="center"/>
    </xf>
    <xf numFmtId="39" fontId="0" fillId="20" borderId="9" xfId="8" applyNumberFormat="1" applyFont="1" applyFill="1" applyBorder="1" applyAlignment="1">
      <alignment horizontal="right" vertical="center"/>
    </xf>
    <xf numFmtId="39" fontId="0" fillId="17" borderId="9" xfId="8" applyNumberFormat="1" applyFont="1" applyFill="1" applyBorder="1" applyAlignment="1">
      <alignment horizontal="right" vertical="center"/>
    </xf>
    <xf numFmtId="0" fontId="0" fillId="21" borderId="11" xfId="0" applyFill="1" applyBorder="1" applyAlignment="1">
      <alignment vertical="center"/>
    </xf>
    <xf numFmtId="0" fontId="0" fillId="22" borderId="11" xfId="0" applyFill="1" applyBorder="1" applyAlignment="1">
      <alignment vertical="center"/>
    </xf>
    <xf numFmtId="0" fontId="0" fillId="20" borderId="11" xfId="0" applyFill="1" applyBorder="1" applyAlignment="1">
      <alignment vertical="center"/>
    </xf>
    <xf numFmtId="14" fontId="4" fillId="8" borderId="9" xfId="2" applyNumberFormat="1" applyFont="1" applyFill="1" applyBorder="1" applyAlignment="1">
      <alignment horizontal="center" vertical="center"/>
    </xf>
    <xf numFmtId="0" fontId="0" fillId="16" borderId="11" xfId="0" applyFill="1" applyBorder="1" applyAlignment="1">
      <alignment vertical="center"/>
    </xf>
    <xf numFmtId="0" fontId="0" fillId="8" borderId="9" xfId="0" applyFill="1" applyBorder="1" applyAlignment="1">
      <alignment vertical="center"/>
    </xf>
    <xf numFmtId="0" fontId="50" fillId="8" borderId="11" xfId="0" applyFont="1" applyFill="1" applyBorder="1" applyAlignment="1">
      <alignment vertical="center"/>
    </xf>
    <xf numFmtId="0" fontId="0" fillId="7" borderId="9" xfId="0" applyFill="1" applyBorder="1" applyAlignment="1">
      <alignment vertical="center"/>
    </xf>
    <xf numFmtId="0" fontId="0" fillId="15" borderId="11" xfId="0" applyFill="1" applyBorder="1" applyAlignment="1">
      <alignment vertical="center"/>
    </xf>
    <xf numFmtId="0" fontId="24" fillId="8" borderId="11" xfId="0" applyFont="1" applyFill="1" applyBorder="1" applyAlignment="1">
      <alignment vertical="center"/>
    </xf>
    <xf numFmtId="0" fontId="0" fillId="18" borderId="11" xfId="0" applyFill="1" applyBorder="1" applyAlignment="1">
      <alignment vertical="center"/>
    </xf>
    <xf numFmtId="0" fontId="27" fillId="0" borderId="0" xfId="1" applyFont="1" applyAlignment="1" applyProtection="1">
      <alignment horizontal="left" vertical="center"/>
    </xf>
    <xf numFmtId="166" fontId="0" fillId="10" borderId="2" xfId="0" applyNumberFormat="1" applyFill="1" applyBorder="1" applyAlignment="1">
      <alignment horizontal="left" vertical="center" wrapText="1" indent="1"/>
    </xf>
    <xf numFmtId="166" fontId="0" fillId="10" borderId="1" xfId="0" applyNumberFormat="1" applyFill="1" applyBorder="1" applyAlignment="1">
      <alignment horizontal="left" vertical="center" wrapText="1" indent="1"/>
    </xf>
    <xf numFmtId="166" fontId="0" fillId="10" borderId="3" xfId="0" applyNumberFormat="1" applyFill="1" applyBorder="1" applyAlignment="1">
      <alignment horizontal="left" vertical="center" wrapText="1" indent="1"/>
    </xf>
    <xf numFmtId="0" fontId="51" fillId="23" borderId="9" xfId="0" applyFont="1" applyFill="1" applyBorder="1" applyAlignment="1">
      <alignment horizontal="left" vertical="center" indent="1"/>
    </xf>
    <xf numFmtId="39" fontId="52" fillId="23" borderId="9" xfId="8" applyNumberFormat="1" applyFont="1" applyFill="1" applyBorder="1" applyAlignment="1">
      <alignment horizontal="right" vertical="center"/>
    </xf>
    <xf numFmtId="0" fontId="0" fillId="13" borderId="9" xfId="0" applyFill="1" applyBorder="1" applyAlignment="1">
      <alignment vertical="center"/>
    </xf>
  </cellXfs>
  <cellStyles count="9">
    <cellStyle name="Comma" xfId="8" builtinId="3"/>
    <cellStyle name="Hyperlink" xfId="1" builtinId="8" customBuiltin="1"/>
    <cellStyle name="Normal" xfId="0" builtinId="0"/>
    <cellStyle name="Normal 2" xfId="5" xr:uid="{F6137E9C-9D90-4907-87D2-F66E1236C2C7}"/>
    <cellStyle name="Normal 3 2" xfId="4" xr:uid="{468F9836-FCE4-46C8-AE46-CFD105BDDA17}"/>
    <cellStyle name="Normal 3 2 2" xfId="7" xr:uid="{5EBE4E74-803E-4F0E-8237-236DFD24A74A}"/>
    <cellStyle name="Normal 4" xfId="3" xr:uid="{0A5A6055-C10D-4DEA-8FED-A569442A9B09}"/>
    <cellStyle name="Normal 4 2" xfId="6" xr:uid="{8193CEAB-09E8-470F-82FE-732684E7C073}"/>
    <cellStyle name="Percent" xfId="2" builtinId="5"/>
  </cellStyles>
  <dxfs count="4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4"/>
      <tableStyleElement type="headerRow" dxfId="43"/>
      <tableStyleElement type="totalRow" dxfId="42"/>
      <tableStyleElement type="firstColumn" dxfId="41"/>
      <tableStyleElement type="lastColumn" dxfId="40"/>
      <tableStyleElement type="firstRowStripe" dxfId="39"/>
      <tableStyleElement type="secondRowStripe" dxfId="38"/>
      <tableStyleElement type="firstColumnStripe" dxfId="37"/>
      <tableStyleElement type="secondColumnStripe" dxfId="3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E494"/>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AI_Theme">
      <a:dk1>
        <a:sysClr val="windowText" lastClr="000000"/>
      </a:dk1>
      <a:lt1>
        <a:sysClr val="window" lastClr="FFFFFF"/>
      </a:lt1>
      <a:dk2>
        <a:srgbClr val="3A5D9C"/>
      </a:dk2>
      <a:lt2>
        <a:srgbClr val="EEEEEE"/>
      </a:lt2>
      <a:accent1>
        <a:srgbClr val="7451B3"/>
      </a:accent1>
      <a:accent2>
        <a:srgbClr val="439957"/>
      </a:accent2>
      <a:accent3>
        <a:srgbClr val="CB4D5C"/>
      </a:accent3>
      <a:accent4>
        <a:srgbClr val="2B76BB"/>
      </a:accent4>
      <a:accent5>
        <a:srgbClr val="C7823D"/>
      </a:accent5>
      <a:accent6>
        <a:srgbClr val="328C88"/>
      </a:accent6>
      <a:hlink>
        <a:srgbClr val="4C92AE"/>
      </a:hlink>
      <a:folHlink>
        <a:srgbClr val="96969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85"/>
  <sheetViews>
    <sheetView showGridLines="0" tabSelected="1" showRuler="0" zoomScaleNormal="100" zoomScalePageLayoutView="70" workbookViewId="0">
      <pane ySplit="6" topLeftCell="A11" activePane="bottomLeft" state="frozen"/>
      <selection pane="bottomLeft" activeCell="BA29" sqref="AX29:BA29"/>
    </sheetView>
  </sheetViews>
  <sheetFormatPr defaultColWidth="10.28515625" defaultRowHeight="15"/>
  <cols>
    <col min="1" max="1" width="2.7109375" customWidth="1"/>
    <col min="2" max="2" width="29.42578125" customWidth="1"/>
    <col min="3" max="3" width="10.7109375" customWidth="1"/>
    <col min="4" max="4" width="16.5703125" customWidth="1"/>
    <col min="5" max="5" width="25.7109375" customWidth="1"/>
    <col min="6" max="6" width="10.28515625" style="4" customWidth="1"/>
    <col min="7" max="7" width="6.42578125" customWidth="1"/>
    <col min="8" max="8" width="2.7109375" customWidth="1"/>
    <col min="9" max="9" width="6.140625" hidden="1" customWidth="1"/>
    <col min="10" max="65" width="2.5703125" customWidth="1"/>
  </cols>
  <sheetData>
    <row r="1" spans="1:65" ht="28.5">
      <c r="B1" s="90" t="s">
        <v>0</v>
      </c>
      <c r="C1" s="90"/>
      <c r="D1" s="91"/>
      <c r="E1" s="1"/>
      <c r="F1" s="3"/>
      <c r="G1" s="22"/>
      <c r="I1" s="1"/>
      <c r="J1" s="6"/>
      <c r="K1" s="121"/>
      <c r="L1" s="121"/>
      <c r="M1" s="121"/>
      <c r="N1" s="121"/>
      <c r="O1" s="121"/>
      <c r="P1" s="121"/>
      <c r="Q1" s="121"/>
      <c r="R1" s="121"/>
      <c r="S1" s="121"/>
      <c r="T1" s="121"/>
      <c r="U1" s="121"/>
      <c r="V1" s="121"/>
      <c r="W1" s="121"/>
      <c r="X1" s="121"/>
      <c r="Y1" s="121"/>
      <c r="Z1" s="121"/>
      <c r="AA1" s="121"/>
      <c r="AB1" s="121"/>
    </row>
    <row r="2" spans="1:65" ht="19.5" customHeight="1">
      <c r="B2" s="92" t="s">
        <v>1</v>
      </c>
      <c r="C2" s="7"/>
      <c r="E2" s="5" t="s">
        <v>2</v>
      </c>
      <c r="F2" s="27">
        <v>46085</v>
      </c>
      <c r="G2" s="28"/>
    </row>
    <row r="3" spans="1:65" ht="19.5" customHeight="1">
      <c r="B3" s="7" t="s">
        <v>3</v>
      </c>
      <c r="C3" s="7"/>
      <c r="E3" s="5" t="s">
        <v>4</v>
      </c>
      <c r="F3" s="27">
        <f ca="1">TODAY()+2</f>
        <v>46128</v>
      </c>
      <c r="G3" s="28"/>
    </row>
    <row r="4" spans="1:65" ht="19.5" customHeight="1">
      <c r="B4" s="81"/>
      <c r="C4" s="63"/>
      <c r="D4" s="2"/>
      <c r="E4" s="5" t="s">
        <v>5</v>
      </c>
      <c r="F4" s="27">
        <v>1</v>
      </c>
      <c r="J4" s="122">
        <f>J5</f>
        <v>46083</v>
      </c>
      <c r="K4" s="123"/>
      <c r="L4" s="123"/>
      <c r="M4" s="123"/>
      <c r="N4" s="123"/>
      <c r="O4" s="123"/>
      <c r="P4" s="124"/>
      <c r="Q4" s="122">
        <f>Q5</f>
        <v>46090</v>
      </c>
      <c r="R4" s="123"/>
      <c r="S4" s="123"/>
      <c r="T4" s="123"/>
      <c r="U4" s="123"/>
      <c r="V4" s="123"/>
      <c r="W4" s="124"/>
      <c r="X4" s="122">
        <f>X5</f>
        <v>46097</v>
      </c>
      <c r="Y4" s="123"/>
      <c r="Z4" s="123"/>
      <c r="AA4" s="123"/>
      <c r="AB4" s="123"/>
      <c r="AC4" s="123"/>
      <c r="AD4" s="124"/>
      <c r="AE4" s="122">
        <f>AE5</f>
        <v>46104</v>
      </c>
      <c r="AF4" s="123"/>
      <c r="AG4" s="123"/>
      <c r="AH4" s="123"/>
      <c r="AI4" s="123"/>
      <c r="AJ4" s="123"/>
      <c r="AK4" s="124"/>
      <c r="AL4" s="122">
        <f>AL5</f>
        <v>46111</v>
      </c>
      <c r="AM4" s="123"/>
      <c r="AN4" s="123"/>
      <c r="AO4" s="123"/>
      <c r="AP4" s="123"/>
      <c r="AQ4" s="123"/>
      <c r="AR4" s="124"/>
      <c r="AS4" s="122">
        <f>AS5</f>
        <v>46118</v>
      </c>
      <c r="AT4" s="123"/>
      <c r="AU4" s="123"/>
      <c r="AV4" s="123"/>
      <c r="AW4" s="123"/>
      <c r="AX4" s="123"/>
      <c r="AY4" s="124"/>
      <c r="AZ4" s="122">
        <f>AZ5</f>
        <v>46125</v>
      </c>
      <c r="BA4" s="123"/>
      <c r="BB4" s="123"/>
      <c r="BC4" s="123"/>
      <c r="BD4" s="123"/>
      <c r="BE4" s="123"/>
      <c r="BF4" s="124"/>
      <c r="BG4" s="122">
        <f>BG5</f>
        <v>46132</v>
      </c>
      <c r="BH4" s="123"/>
      <c r="BI4" s="123"/>
      <c r="BJ4" s="123"/>
      <c r="BK4" s="123"/>
      <c r="BL4" s="123"/>
      <c r="BM4" s="124"/>
    </row>
    <row r="5" spans="1:65">
      <c r="A5" s="5"/>
      <c r="H5" s="5"/>
      <c r="J5" s="87">
        <f>F2-WEEKDAY(F2,1)+2+7*(F4-1)</f>
        <v>46083</v>
      </c>
      <c r="K5" s="88">
        <f>J5+1</f>
        <v>46084</v>
      </c>
      <c r="L5" s="88">
        <f t="shared" ref="L5:AY5" si="0">K5+1</f>
        <v>46085</v>
      </c>
      <c r="M5" s="88">
        <f t="shared" si="0"/>
        <v>46086</v>
      </c>
      <c r="N5" s="88">
        <f t="shared" si="0"/>
        <v>46087</v>
      </c>
      <c r="O5" s="88">
        <f t="shared" si="0"/>
        <v>46088</v>
      </c>
      <c r="P5" s="89">
        <f t="shared" si="0"/>
        <v>46089</v>
      </c>
      <c r="Q5" s="87">
        <f>P5+1</f>
        <v>46090</v>
      </c>
      <c r="R5" s="88">
        <f>Q5+1</f>
        <v>46091</v>
      </c>
      <c r="S5" s="88">
        <f t="shared" si="0"/>
        <v>46092</v>
      </c>
      <c r="T5" s="88">
        <f t="shared" si="0"/>
        <v>46093</v>
      </c>
      <c r="U5" s="88">
        <f t="shared" si="0"/>
        <v>46094</v>
      </c>
      <c r="V5" s="88">
        <f t="shared" si="0"/>
        <v>46095</v>
      </c>
      <c r="W5" s="89">
        <f t="shared" si="0"/>
        <v>46096</v>
      </c>
      <c r="X5" s="87">
        <f>W5+1</f>
        <v>46097</v>
      </c>
      <c r="Y5" s="88">
        <f>X5+1</f>
        <v>46098</v>
      </c>
      <c r="Z5" s="88">
        <f t="shared" si="0"/>
        <v>46099</v>
      </c>
      <c r="AA5" s="88">
        <f t="shared" si="0"/>
        <v>46100</v>
      </c>
      <c r="AB5" s="88">
        <f t="shared" si="0"/>
        <v>46101</v>
      </c>
      <c r="AC5" s="88">
        <f t="shared" si="0"/>
        <v>46102</v>
      </c>
      <c r="AD5" s="89">
        <f t="shared" si="0"/>
        <v>46103</v>
      </c>
      <c r="AE5" s="87">
        <f>AD5+1</f>
        <v>46104</v>
      </c>
      <c r="AF5" s="88">
        <f>AE5+1</f>
        <v>46105</v>
      </c>
      <c r="AG5" s="88">
        <f t="shared" si="0"/>
        <v>46106</v>
      </c>
      <c r="AH5" s="88">
        <f t="shared" si="0"/>
        <v>46107</v>
      </c>
      <c r="AI5" s="88">
        <f t="shared" si="0"/>
        <v>46108</v>
      </c>
      <c r="AJ5" s="88">
        <f t="shared" si="0"/>
        <v>46109</v>
      </c>
      <c r="AK5" s="89">
        <f t="shared" si="0"/>
        <v>46110</v>
      </c>
      <c r="AL5" s="87">
        <f>AK5+1</f>
        <v>46111</v>
      </c>
      <c r="AM5" s="88">
        <f>AL5+1</f>
        <v>46112</v>
      </c>
      <c r="AN5" s="88">
        <f t="shared" si="0"/>
        <v>46113</v>
      </c>
      <c r="AO5" s="88">
        <f t="shared" si="0"/>
        <v>46114</v>
      </c>
      <c r="AP5" s="88">
        <f t="shared" si="0"/>
        <v>46115</v>
      </c>
      <c r="AQ5" s="88">
        <f t="shared" si="0"/>
        <v>46116</v>
      </c>
      <c r="AR5" s="89">
        <f t="shared" si="0"/>
        <v>46117</v>
      </c>
      <c r="AS5" s="87">
        <f>AR5+1</f>
        <v>46118</v>
      </c>
      <c r="AT5" s="88">
        <f>AS5+1</f>
        <v>46119</v>
      </c>
      <c r="AU5" s="88">
        <f t="shared" si="0"/>
        <v>46120</v>
      </c>
      <c r="AV5" s="88">
        <f t="shared" si="0"/>
        <v>46121</v>
      </c>
      <c r="AW5" s="88">
        <f t="shared" si="0"/>
        <v>46122</v>
      </c>
      <c r="AX5" s="88">
        <f t="shared" si="0"/>
        <v>46123</v>
      </c>
      <c r="AY5" s="89">
        <f t="shared" si="0"/>
        <v>46124</v>
      </c>
      <c r="AZ5" s="87">
        <f>AY5+1</f>
        <v>46125</v>
      </c>
      <c r="BA5" s="88">
        <f>AZ5+1</f>
        <v>46126</v>
      </c>
      <c r="BB5" s="88">
        <f t="shared" ref="BB5:BF5" si="1">BA5+1</f>
        <v>46127</v>
      </c>
      <c r="BC5" s="88">
        <f t="shared" si="1"/>
        <v>46128</v>
      </c>
      <c r="BD5" s="88">
        <f t="shared" si="1"/>
        <v>46129</v>
      </c>
      <c r="BE5" s="88">
        <f t="shared" si="1"/>
        <v>46130</v>
      </c>
      <c r="BF5" s="89">
        <f t="shared" si="1"/>
        <v>46131</v>
      </c>
      <c r="BG5" s="87">
        <f>BF5+1</f>
        <v>46132</v>
      </c>
      <c r="BH5" s="88">
        <f>BG5+1</f>
        <v>46133</v>
      </c>
      <c r="BI5" s="88">
        <f t="shared" ref="BI5:BM5" si="2">BH5+1</f>
        <v>46134</v>
      </c>
      <c r="BJ5" s="88">
        <f t="shared" si="2"/>
        <v>46135</v>
      </c>
      <c r="BK5" s="88">
        <f t="shared" si="2"/>
        <v>46136</v>
      </c>
      <c r="BL5" s="88">
        <f t="shared" si="2"/>
        <v>46137</v>
      </c>
      <c r="BM5" s="89">
        <f t="shared" si="2"/>
        <v>46138</v>
      </c>
    </row>
    <row r="6" spans="1:65" ht="29.25" customHeight="1">
      <c r="A6" s="10"/>
      <c r="B6" s="84" t="s">
        <v>6</v>
      </c>
      <c r="C6" s="85"/>
      <c r="D6" s="85" t="s">
        <v>7</v>
      </c>
      <c r="E6" s="85" t="s">
        <v>8</v>
      </c>
      <c r="F6" s="85"/>
      <c r="G6" s="85"/>
      <c r="H6" s="85"/>
      <c r="I6" s="85" t="s">
        <v>9</v>
      </c>
      <c r="J6" s="86" t="str">
        <f t="shared" ref="J6" si="3">LEFT(TEXT(J5,"ddd"),1)</f>
        <v>M</v>
      </c>
      <c r="K6" s="86" t="str">
        <f t="shared" ref="K6:AS6" si="4">LEFT(TEXT(K5,"ddd"),1)</f>
        <v>T</v>
      </c>
      <c r="L6" s="86" t="str">
        <f t="shared" si="4"/>
        <v>W</v>
      </c>
      <c r="M6" s="86" t="str">
        <f t="shared" si="4"/>
        <v>T</v>
      </c>
      <c r="N6" s="86" t="str">
        <f t="shared" si="4"/>
        <v>F</v>
      </c>
      <c r="O6" s="86" t="str">
        <f t="shared" si="4"/>
        <v>S</v>
      </c>
      <c r="P6" s="86" t="str">
        <f t="shared" si="4"/>
        <v>S</v>
      </c>
      <c r="Q6" s="86" t="str">
        <f t="shared" si="4"/>
        <v>M</v>
      </c>
      <c r="R6" s="86" t="str">
        <f t="shared" si="4"/>
        <v>T</v>
      </c>
      <c r="S6" s="86" t="str">
        <f t="shared" si="4"/>
        <v>W</v>
      </c>
      <c r="T6" s="86" t="str">
        <f t="shared" si="4"/>
        <v>T</v>
      </c>
      <c r="U6" s="86" t="str">
        <f t="shared" si="4"/>
        <v>F</v>
      </c>
      <c r="V6" s="86" t="str">
        <f t="shared" si="4"/>
        <v>S</v>
      </c>
      <c r="W6" s="86" t="str">
        <f t="shared" si="4"/>
        <v>S</v>
      </c>
      <c r="X6" s="86" t="str">
        <f t="shared" si="4"/>
        <v>M</v>
      </c>
      <c r="Y6" s="86" t="str">
        <f t="shared" si="4"/>
        <v>T</v>
      </c>
      <c r="Z6" s="86" t="str">
        <f t="shared" si="4"/>
        <v>W</v>
      </c>
      <c r="AA6" s="86" t="str">
        <f t="shared" si="4"/>
        <v>T</v>
      </c>
      <c r="AB6" s="86" t="str">
        <f t="shared" si="4"/>
        <v>F</v>
      </c>
      <c r="AC6" s="86" t="str">
        <f t="shared" si="4"/>
        <v>S</v>
      </c>
      <c r="AD6" s="86" t="str">
        <f t="shared" si="4"/>
        <v>S</v>
      </c>
      <c r="AE6" s="86" t="str">
        <f t="shared" si="4"/>
        <v>M</v>
      </c>
      <c r="AF6" s="86" t="str">
        <f t="shared" si="4"/>
        <v>T</v>
      </c>
      <c r="AG6" s="86" t="str">
        <f t="shared" si="4"/>
        <v>W</v>
      </c>
      <c r="AH6" s="86" t="str">
        <f t="shared" si="4"/>
        <v>T</v>
      </c>
      <c r="AI6" s="86" t="str">
        <f t="shared" si="4"/>
        <v>F</v>
      </c>
      <c r="AJ6" s="86" t="str">
        <f t="shared" si="4"/>
        <v>S</v>
      </c>
      <c r="AK6" s="86" t="str">
        <f t="shared" si="4"/>
        <v>S</v>
      </c>
      <c r="AL6" s="86" t="str">
        <f t="shared" si="4"/>
        <v>M</v>
      </c>
      <c r="AM6" s="86" t="str">
        <f t="shared" si="4"/>
        <v>T</v>
      </c>
      <c r="AN6" s="86" t="str">
        <f t="shared" si="4"/>
        <v>W</v>
      </c>
      <c r="AO6" s="86" t="str">
        <f t="shared" si="4"/>
        <v>T</v>
      </c>
      <c r="AP6" s="86" t="str">
        <f t="shared" si="4"/>
        <v>F</v>
      </c>
      <c r="AQ6" s="86" t="str">
        <f t="shared" si="4"/>
        <v>S</v>
      </c>
      <c r="AR6" s="86" t="str">
        <f t="shared" si="4"/>
        <v>S</v>
      </c>
      <c r="AS6" s="86" t="str">
        <f t="shared" si="4"/>
        <v>M</v>
      </c>
      <c r="AT6" s="86" t="str">
        <f t="shared" ref="AT6:BM6" si="5">LEFT(TEXT(AT5,"ddd"),1)</f>
        <v>T</v>
      </c>
      <c r="AU6" s="86" t="str">
        <f t="shared" si="5"/>
        <v>W</v>
      </c>
      <c r="AV6" s="86" t="str">
        <f t="shared" si="5"/>
        <v>T</v>
      </c>
      <c r="AW6" s="86" t="str">
        <f t="shared" si="5"/>
        <v>F</v>
      </c>
      <c r="AX6" s="86" t="str">
        <f t="shared" si="5"/>
        <v>S</v>
      </c>
      <c r="AY6" s="86" t="str">
        <f t="shared" si="5"/>
        <v>S</v>
      </c>
      <c r="AZ6" s="86" t="str">
        <f t="shared" si="5"/>
        <v>M</v>
      </c>
      <c r="BA6" s="86" t="str">
        <f t="shared" si="5"/>
        <v>T</v>
      </c>
      <c r="BB6" s="86" t="str">
        <f t="shared" si="5"/>
        <v>W</v>
      </c>
      <c r="BC6" s="86" t="str">
        <f t="shared" si="5"/>
        <v>T</v>
      </c>
      <c r="BD6" s="86" t="str">
        <f t="shared" si="5"/>
        <v>F</v>
      </c>
      <c r="BE6" s="86" t="str">
        <f t="shared" si="5"/>
        <v>S</v>
      </c>
      <c r="BF6" s="86" t="str">
        <f t="shared" si="5"/>
        <v>S</v>
      </c>
      <c r="BG6" s="86" t="str">
        <f t="shared" si="5"/>
        <v>M</v>
      </c>
      <c r="BH6" s="86" t="str">
        <f t="shared" si="5"/>
        <v>T</v>
      </c>
      <c r="BI6" s="86" t="str">
        <f t="shared" si="5"/>
        <v>W</v>
      </c>
      <c r="BJ6" s="86" t="str">
        <f t="shared" si="5"/>
        <v>T</v>
      </c>
      <c r="BK6" s="86" t="str">
        <f t="shared" si="5"/>
        <v>F</v>
      </c>
      <c r="BL6" s="86" t="str">
        <f t="shared" si="5"/>
        <v>S</v>
      </c>
      <c r="BM6" s="86" t="str">
        <f t="shared" si="5"/>
        <v>S</v>
      </c>
    </row>
    <row r="7" spans="1:65" s="72" customFormat="1" ht="21">
      <c r="A7" s="10"/>
      <c r="B7" s="95" t="s">
        <v>10</v>
      </c>
      <c r="C7" s="106"/>
      <c r="D7" s="66" t="s">
        <v>11</v>
      </c>
      <c r="E7" s="67" t="s">
        <v>12</v>
      </c>
      <c r="F7" s="68"/>
      <c r="G7" s="69"/>
      <c r="H7" s="70"/>
      <c r="I7" s="70" t="str">
        <f t="shared" ref="I7:I81" ca="1" si="6">IF(OR(ISBLANK(task_start),ISBLANK(task_end)),"",task_end-task_start+1)</f>
        <v/>
      </c>
      <c r="J7" s="71"/>
      <c r="K7" s="71"/>
      <c r="L7" s="71"/>
      <c r="M7" s="71"/>
      <c r="N7" s="99"/>
      <c r="O7" s="100"/>
      <c r="P7" s="100"/>
      <c r="Q7" s="100"/>
      <c r="R7" s="100"/>
      <c r="S7" s="114"/>
      <c r="T7" s="118"/>
      <c r="U7" s="118"/>
      <c r="V7" s="114"/>
      <c r="W7" s="114"/>
      <c r="X7" s="114"/>
      <c r="Y7" s="114"/>
      <c r="Z7" s="114"/>
      <c r="AA7" s="118"/>
      <c r="AB7" s="118"/>
      <c r="AC7" s="118"/>
      <c r="AD7" s="118"/>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row>
    <row r="8" spans="1:65" s="72" customFormat="1" ht="21">
      <c r="A8" s="10"/>
      <c r="B8" s="94" t="s">
        <v>13</v>
      </c>
      <c r="C8" s="107"/>
      <c r="D8" s="66"/>
      <c r="E8" s="93"/>
      <c r="F8" s="68"/>
      <c r="G8" s="69"/>
      <c r="H8" s="70"/>
      <c r="I8" s="70" t="str">
        <f t="shared" ca="1" si="6"/>
        <v/>
      </c>
      <c r="J8" s="71"/>
      <c r="K8" s="71"/>
      <c r="L8" s="71"/>
      <c r="M8" s="71"/>
      <c r="N8" s="71"/>
      <c r="O8" s="71"/>
      <c r="P8" s="71"/>
      <c r="Q8" s="71"/>
      <c r="R8" s="71"/>
      <c r="S8" s="96"/>
      <c r="T8" s="71"/>
      <c r="U8" s="83"/>
      <c r="V8" s="83"/>
      <c r="W8" s="83"/>
      <c r="X8" s="83"/>
      <c r="Y8" s="83"/>
      <c r="Z8" s="83"/>
      <c r="AA8" s="83"/>
      <c r="AB8" s="83"/>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row>
    <row r="9" spans="1:65" s="72" customFormat="1" ht="21">
      <c r="A9" s="10"/>
      <c r="B9" s="64" t="s">
        <v>14</v>
      </c>
      <c r="C9" s="65"/>
      <c r="D9" s="66" t="s">
        <v>15</v>
      </c>
      <c r="E9" s="113" t="s">
        <v>16</v>
      </c>
      <c r="F9" s="68"/>
      <c r="G9" s="69"/>
      <c r="H9" s="70"/>
      <c r="I9" s="70" t="str">
        <f t="shared" ca="1" si="6"/>
        <v/>
      </c>
      <c r="J9" s="71"/>
      <c r="K9" s="71"/>
      <c r="L9" s="71"/>
      <c r="M9" s="71"/>
      <c r="N9" s="71"/>
      <c r="O9" s="71"/>
      <c r="P9" s="71"/>
      <c r="Q9" s="71"/>
      <c r="R9" s="71"/>
      <c r="S9" s="71"/>
      <c r="T9" s="83"/>
      <c r="U9" s="82"/>
      <c r="V9" s="98"/>
      <c r="W9" s="98"/>
      <c r="X9" s="98"/>
      <c r="Y9" s="98"/>
      <c r="Z9" s="98"/>
      <c r="AA9" s="98"/>
      <c r="AB9" s="98"/>
      <c r="AC9" s="98"/>
      <c r="AD9" s="98"/>
      <c r="AE9" s="98"/>
      <c r="AF9" s="98"/>
      <c r="AG9" s="98"/>
      <c r="AH9" s="98"/>
      <c r="AI9" s="82"/>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1"/>
      <c r="BM9" s="71"/>
    </row>
    <row r="10" spans="1:65" s="72" customFormat="1" ht="21">
      <c r="A10" s="10"/>
      <c r="B10" s="64" t="s">
        <v>17</v>
      </c>
      <c r="C10" s="65"/>
      <c r="D10" s="66" t="s">
        <v>15</v>
      </c>
      <c r="E10" s="67" t="s">
        <v>18</v>
      </c>
      <c r="F10" s="68"/>
      <c r="G10" s="69"/>
      <c r="H10" s="70"/>
      <c r="I10" s="70" t="str">
        <f t="shared" ca="1" si="6"/>
        <v/>
      </c>
      <c r="J10" s="71"/>
      <c r="K10" s="71"/>
      <c r="L10" s="71"/>
      <c r="M10" s="71"/>
      <c r="N10" s="71"/>
      <c r="O10" s="71"/>
      <c r="P10" s="71"/>
      <c r="Q10" s="71"/>
      <c r="R10" s="71"/>
      <c r="S10" s="71"/>
      <c r="T10" s="83"/>
      <c r="U10" s="82"/>
      <c r="V10" s="98"/>
      <c r="W10" s="98"/>
      <c r="X10" s="98"/>
      <c r="Y10" s="82"/>
      <c r="Z10" s="82"/>
      <c r="AA10" s="82"/>
      <c r="AB10" s="82"/>
      <c r="AC10" s="98"/>
      <c r="AD10" s="98"/>
      <c r="AE10" s="98"/>
      <c r="AF10" s="98"/>
      <c r="AG10" s="98"/>
      <c r="AH10" s="98"/>
      <c r="AI10" s="98"/>
      <c r="AJ10" s="98"/>
      <c r="AK10" s="98"/>
      <c r="AL10" s="98"/>
      <c r="AM10" s="98"/>
      <c r="AN10" s="98"/>
      <c r="AO10" s="98"/>
      <c r="AP10" s="98"/>
      <c r="AQ10" s="98"/>
      <c r="AR10" s="98"/>
      <c r="AS10" s="98"/>
      <c r="AT10" s="98"/>
      <c r="AU10" s="98"/>
      <c r="AV10" s="82"/>
      <c r="AW10" s="82"/>
      <c r="AX10" s="82"/>
      <c r="AY10" s="71"/>
      <c r="AZ10" s="71"/>
      <c r="BA10" s="71"/>
      <c r="BB10" s="71"/>
      <c r="BC10" s="71"/>
      <c r="BD10" s="71"/>
      <c r="BE10" s="71"/>
      <c r="BF10" s="71"/>
      <c r="BG10" s="71"/>
      <c r="BH10" s="71"/>
      <c r="BI10" s="71"/>
      <c r="BJ10" s="71"/>
      <c r="BK10" s="71"/>
      <c r="BL10" s="71"/>
      <c r="BM10" s="71"/>
    </row>
    <row r="11" spans="1:65" s="72" customFormat="1" ht="21">
      <c r="A11" s="10"/>
      <c r="B11" s="64" t="s">
        <v>19</v>
      </c>
      <c r="C11" s="65"/>
      <c r="D11" s="66" t="s">
        <v>15</v>
      </c>
      <c r="E11" s="67" t="s">
        <v>20</v>
      </c>
      <c r="F11" s="68"/>
      <c r="G11" s="69"/>
      <c r="H11" s="70"/>
      <c r="I11" s="70" t="str">
        <f t="shared" ca="1" si="6"/>
        <v/>
      </c>
      <c r="J11" s="71"/>
      <c r="K11" s="71"/>
      <c r="L11" s="71"/>
      <c r="M11" s="71"/>
      <c r="N11" s="71"/>
      <c r="O11" s="71"/>
      <c r="P11" s="71"/>
      <c r="Q11" s="71"/>
      <c r="R11" s="71"/>
      <c r="S11" s="71"/>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98"/>
      <c r="AT11" s="98"/>
      <c r="AU11" s="98"/>
      <c r="AV11" s="98"/>
      <c r="AW11" s="82"/>
      <c r="AX11" s="82"/>
      <c r="AY11" s="98"/>
      <c r="AZ11" s="82"/>
      <c r="BA11" s="82"/>
      <c r="BB11" s="82"/>
      <c r="BC11" s="82"/>
      <c r="BD11" s="71"/>
      <c r="BE11" s="71"/>
      <c r="BF11" s="71"/>
      <c r="BG11" s="71"/>
      <c r="BH11" s="71"/>
      <c r="BI11" s="71"/>
      <c r="BJ11" s="71"/>
      <c r="BK11" s="71"/>
      <c r="BL11" s="71"/>
      <c r="BM11" s="71"/>
    </row>
    <row r="12" spans="1:65" s="72" customFormat="1" ht="21">
      <c r="A12" s="10"/>
      <c r="B12" s="64" t="s">
        <v>21</v>
      </c>
      <c r="C12" s="65"/>
      <c r="D12" s="66" t="s">
        <v>15</v>
      </c>
      <c r="E12" s="67" t="s">
        <v>22</v>
      </c>
      <c r="F12" s="68"/>
      <c r="G12" s="69"/>
      <c r="H12" s="70"/>
      <c r="I12" s="70" t="str">
        <f t="shared" ca="1" si="6"/>
        <v/>
      </c>
      <c r="J12" s="71"/>
      <c r="K12" s="71"/>
      <c r="L12" s="71"/>
      <c r="M12" s="71"/>
      <c r="N12" s="71"/>
      <c r="O12" s="71"/>
      <c r="P12" s="71"/>
      <c r="Q12" s="71"/>
      <c r="R12" s="83"/>
      <c r="S12" s="71"/>
      <c r="T12" s="71"/>
      <c r="U12" s="71"/>
      <c r="V12" s="71"/>
      <c r="W12" s="71"/>
      <c r="X12" s="71"/>
      <c r="Y12" s="83"/>
      <c r="Z12" s="83"/>
      <c r="AA12" s="115"/>
      <c r="AB12" s="83"/>
      <c r="AC12" s="116"/>
      <c r="AD12" s="116"/>
      <c r="AE12" s="83"/>
      <c r="AF12" s="83"/>
      <c r="AG12" s="83"/>
      <c r="AH12" s="83"/>
      <c r="AI12" s="83"/>
      <c r="AJ12" s="83"/>
      <c r="AK12" s="83"/>
      <c r="AL12" s="83"/>
      <c r="AM12" s="83"/>
      <c r="AN12" s="71"/>
      <c r="AO12" s="71"/>
      <c r="AP12" s="71"/>
      <c r="AQ12" s="71"/>
      <c r="AR12" s="71"/>
      <c r="AS12" s="71"/>
      <c r="AT12" s="71"/>
      <c r="AU12" s="71"/>
      <c r="AV12" s="71"/>
      <c r="AW12" s="71"/>
      <c r="AX12" s="82"/>
      <c r="AY12" s="98"/>
      <c r="AZ12" s="117"/>
      <c r="BA12" s="82"/>
      <c r="BB12" s="71"/>
      <c r="BC12" s="71"/>
      <c r="BD12" s="71"/>
      <c r="BE12" s="71"/>
      <c r="BF12" s="71"/>
      <c r="BG12" s="71"/>
      <c r="BH12" s="71"/>
      <c r="BI12" s="71"/>
      <c r="BJ12" s="71"/>
      <c r="BK12" s="71"/>
      <c r="BL12" s="71"/>
      <c r="BM12" s="71"/>
    </row>
    <row r="13" spans="1:65" s="72" customFormat="1" ht="21">
      <c r="A13" s="10"/>
      <c r="B13" s="64" t="s">
        <v>23</v>
      </c>
      <c r="C13" s="65"/>
      <c r="D13" s="66" t="s">
        <v>15</v>
      </c>
      <c r="E13" s="93" t="s">
        <v>24</v>
      </c>
      <c r="F13" s="68"/>
      <c r="G13" s="69"/>
      <c r="H13" s="70"/>
      <c r="I13" s="70" t="str">
        <f t="shared" ca="1" si="6"/>
        <v/>
      </c>
      <c r="J13" s="71"/>
      <c r="K13" s="71"/>
      <c r="L13" s="71"/>
      <c r="M13" s="71"/>
      <c r="N13" s="71"/>
      <c r="O13" s="71"/>
      <c r="P13" s="71"/>
      <c r="Q13" s="71"/>
      <c r="R13" s="71"/>
      <c r="S13" s="71"/>
      <c r="T13" s="71"/>
      <c r="U13" s="82"/>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82"/>
      <c r="AX13" s="82"/>
      <c r="AY13" s="71"/>
      <c r="AZ13" s="71"/>
      <c r="BA13" s="71"/>
      <c r="BB13" s="71"/>
      <c r="BC13" s="71"/>
      <c r="BD13" s="71"/>
      <c r="BE13" s="71"/>
      <c r="BF13" s="71"/>
      <c r="BG13" s="71"/>
      <c r="BH13" s="71"/>
      <c r="BI13" s="71"/>
      <c r="BJ13" s="71"/>
      <c r="BK13" s="71"/>
      <c r="BL13" s="71"/>
      <c r="BM13" s="71"/>
    </row>
    <row r="14" spans="1:65" s="72" customFormat="1" ht="21">
      <c r="A14" s="10"/>
      <c r="B14" s="105" t="s">
        <v>25</v>
      </c>
      <c r="C14" s="108"/>
      <c r="D14" s="66"/>
      <c r="F14" s="68"/>
      <c r="G14" s="69"/>
      <c r="H14" s="70"/>
      <c r="I14" s="70" t="str">
        <f t="shared" ca="1" si="6"/>
        <v/>
      </c>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83"/>
      <c r="AK14" s="83"/>
      <c r="AL14" s="83"/>
      <c r="AM14" s="83"/>
      <c r="AN14" s="83"/>
      <c r="AO14" s="83"/>
      <c r="AP14" s="83"/>
      <c r="AQ14" s="83"/>
      <c r="AR14" s="83"/>
      <c r="AS14" s="83"/>
      <c r="AT14" s="83"/>
      <c r="AU14" s="83"/>
      <c r="AV14" s="71"/>
      <c r="AW14" s="71"/>
      <c r="AX14" s="71"/>
      <c r="AY14" s="71"/>
      <c r="AZ14" s="71"/>
      <c r="BA14" s="71"/>
      <c r="BB14" s="71"/>
      <c r="BC14" s="71"/>
      <c r="BD14" s="71"/>
      <c r="BE14" s="71"/>
      <c r="BF14" s="71"/>
      <c r="BG14" s="71"/>
      <c r="BH14" s="71"/>
      <c r="BI14" s="71"/>
      <c r="BJ14" s="71"/>
      <c r="BK14" s="71"/>
      <c r="BL14" s="71"/>
      <c r="BM14" s="71"/>
    </row>
    <row r="15" spans="1:65" s="72" customFormat="1" ht="21">
      <c r="A15" s="10"/>
      <c r="B15" s="64" t="s">
        <v>26</v>
      </c>
      <c r="C15" s="65"/>
      <c r="D15" s="66" t="s">
        <v>27</v>
      </c>
      <c r="E15" s="67" t="s">
        <v>28</v>
      </c>
      <c r="F15" s="68"/>
      <c r="G15" s="69"/>
      <c r="H15" s="70"/>
      <c r="I15" s="70" t="str">
        <f t="shared" ca="1" si="6"/>
        <v/>
      </c>
      <c r="J15" s="71"/>
      <c r="K15" s="71"/>
      <c r="L15" s="71"/>
      <c r="M15" s="71"/>
      <c r="N15" s="71"/>
      <c r="O15" s="71"/>
      <c r="P15" s="71"/>
      <c r="Q15" s="71"/>
      <c r="R15" s="71"/>
      <c r="S15" s="71"/>
      <c r="T15" s="71"/>
      <c r="U15" s="71"/>
      <c r="V15" s="71"/>
      <c r="W15" s="71"/>
      <c r="X15" s="71"/>
      <c r="Y15" s="71"/>
      <c r="Z15" s="71"/>
      <c r="AA15" s="71"/>
      <c r="AB15" s="83"/>
      <c r="AC15" s="83"/>
      <c r="AD15" s="83"/>
      <c r="AE15" s="83"/>
      <c r="AF15" s="83"/>
      <c r="AG15" s="83"/>
      <c r="AH15" s="104"/>
      <c r="AI15" s="104"/>
      <c r="AJ15" s="112"/>
      <c r="AK15" s="112"/>
      <c r="AL15" s="112"/>
      <c r="AM15" s="112"/>
      <c r="AN15" s="112"/>
      <c r="AO15" s="112"/>
      <c r="AP15" s="112"/>
      <c r="AQ15" s="112"/>
      <c r="AR15" s="112"/>
      <c r="AS15" s="112"/>
      <c r="AT15" s="112"/>
      <c r="AU15" s="112"/>
      <c r="AV15" s="112"/>
      <c r="AW15" s="104"/>
      <c r="AX15" s="83"/>
      <c r="AY15" s="83"/>
      <c r="AZ15" s="83"/>
      <c r="BA15" s="83"/>
      <c r="BB15" s="71"/>
      <c r="BC15" s="71"/>
      <c r="BD15" s="71"/>
      <c r="BE15" s="71"/>
      <c r="BF15" s="71"/>
      <c r="BG15" s="71"/>
      <c r="BH15" s="71"/>
      <c r="BI15" s="71"/>
      <c r="BJ15" s="71"/>
      <c r="BK15" s="71"/>
      <c r="BL15" s="71"/>
      <c r="BM15" s="71"/>
    </row>
    <row r="16" spans="1:65" s="72" customFormat="1" ht="21">
      <c r="A16" s="10"/>
      <c r="B16" s="64" t="s">
        <v>29</v>
      </c>
      <c r="C16" s="65"/>
      <c r="D16" s="66" t="s">
        <v>30</v>
      </c>
      <c r="E16" s="67" t="s">
        <v>28</v>
      </c>
      <c r="F16" s="68"/>
      <c r="G16" s="69"/>
      <c r="H16" s="70"/>
      <c r="I16" s="70" t="str">
        <f t="shared" ca="1" si="6"/>
        <v/>
      </c>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104"/>
      <c r="AI16" s="104"/>
      <c r="AJ16" s="112"/>
      <c r="AK16" s="112"/>
      <c r="AL16" s="112"/>
      <c r="AM16" s="112"/>
      <c r="AN16" s="112"/>
      <c r="AO16" s="112"/>
      <c r="AP16" s="112"/>
      <c r="AQ16" s="112"/>
      <c r="AR16" s="112"/>
      <c r="AS16" s="112"/>
      <c r="AT16" s="112"/>
      <c r="AU16" s="112"/>
      <c r="AV16" s="112"/>
      <c r="AW16" s="104"/>
      <c r="AX16" s="83"/>
      <c r="AY16" s="83"/>
      <c r="AZ16" s="83"/>
      <c r="BA16" s="83"/>
      <c r="BB16" s="71"/>
      <c r="BC16" s="71"/>
      <c r="BD16" s="71"/>
      <c r="BE16" s="71"/>
      <c r="BF16" s="71"/>
      <c r="BG16" s="71"/>
      <c r="BH16" s="71"/>
      <c r="BI16" s="71"/>
      <c r="BJ16" s="71"/>
      <c r="BK16" s="71"/>
      <c r="BL16" s="71"/>
      <c r="BM16" s="71"/>
    </row>
    <row r="17" spans="1:65" s="72" customFormat="1" ht="21">
      <c r="A17" s="10"/>
      <c r="B17" s="64" t="s">
        <v>31</v>
      </c>
      <c r="C17" s="65"/>
      <c r="D17" s="66" t="s">
        <v>27</v>
      </c>
      <c r="E17" s="67" t="s">
        <v>32</v>
      </c>
      <c r="F17" s="68"/>
      <c r="G17" s="69"/>
      <c r="H17" s="70"/>
      <c r="I17" s="70" t="str">
        <f t="shared" ca="1" si="6"/>
        <v/>
      </c>
      <c r="J17" s="71"/>
      <c r="K17" s="71"/>
      <c r="L17" s="71"/>
      <c r="M17" s="71"/>
      <c r="N17" s="71"/>
      <c r="O17" s="71"/>
      <c r="P17" s="71"/>
      <c r="Q17" s="71"/>
      <c r="R17" s="71"/>
      <c r="S17" s="71"/>
      <c r="T17" s="71"/>
      <c r="U17" s="71"/>
      <c r="V17" s="71"/>
      <c r="W17" s="71"/>
      <c r="X17" s="71"/>
      <c r="Y17" s="71"/>
      <c r="Z17" s="71"/>
      <c r="AA17" s="71"/>
      <c r="AB17" s="83"/>
      <c r="AC17" s="83"/>
      <c r="AD17" s="83"/>
      <c r="AE17" s="83"/>
      <c r="AF17" s="83"/>
      <c r="AG17" s="83"/>
      <c r="AH17" s="83"/>
      <c r="AI17" s="83"/>
      <c r="AJ17" s="83"/>
      <c r="AK17" s="83"/>
      <c r="AL17" s="104"/>
      <c r="AM17" s="104"/>
      <c r="AN17" s="104"/>
      <c r="AO17" s="104"/>
      <c r="AP17" s="104"/>
      <c r="AQ17" s="104"/>
      <c r="AR17" s="83"/>
      <c r="AS17" s="83"/>
      <c r="AT17" s="83"/>
      <c r="AU17" s="83"/>
      <c r="AV17" s="83"/>
      <c r="AW17" s="71"/>
      <c r="AX17" s="71"/>
      <c r="AY17" s="71"/>
      <c r="AZ17" s="71"/>
      <c r="BA17" s="71"/>
      <c r="BB17" s="71"/>
      <c r="BC17" s="71"/>
      <c r="BD17" s="71"/>
      <c r="BE17" s="71"/>
      <c r="BF17" s="71"/>
      <c r="BG17" s="71"/>
      <c r="BH17" s="71"/>
      <c r="BI17" s="71"/>
      <c r="BJ17" s="71"/>
      <c r="BK17" s="71"/>
      <c r="BL17" s="71"/>
      <c r="BM17" s="71"/>
    </row>
    <row r="18" spans="1:65" s="72" customFormat="1" ht="21">
      <c r="A18" s="10"/>
      <c r="B18" s="64" t="s">
        <v>33</v>
      </c>
      <c r="C18" s="65"/>
      <c r="D18" s="66" t="s">
        <v>30</v>
      </c>
      <c r="E18" s="67" t="s">
        <v>34</v>
      </c>
      <c r="F18" s="68"/>
      <c r="G18" s="69"/>
      <c r="H18" s="70"/>
      <c r="I18" s="70" t="str">
        <f t="shared" ca="1" si="6"/>
        <v/>
      </c>
      <c r="J18" s="71"/>
      <c r="K18" s="71"/>
      <c r="L18" s="71"/>
      <c r="M18" s="71"/>
      <c r="N18" s="71"/>
      <c r="O18" s="71"/>
      <c r="P18" s="71"/>
      <c r="Q18" s="71"/>
      <c r="R18" s="71"/>
      <c r="S18" s="71"/>
      <c r="T18" s="71"/>
      <c r="U18" s="71"/>
      <c r="V18" s="71"/>
      <c r="W18" s="71"/>
      <c r="X18" s="71"/>
      <c r="Y18" s="71"/>
      <c r="Z18" s="71"/>
      <c r="AA18" s="71"/>
      <c r="AB18" s="83"/>
      <c r="AC18" s="83"/>
      <c r="AD18" s="83"/>
      <c r="AE18" s="83"/>
      <c r="AF18" s="83"/>
      <c r="AG18" s="83"/>
      <c r="AH18" s="83"/>
      <c r="AI18" s="83"/>
      <c r="AJ18" s="83"/>
      <c r="AK18" s="83"/>
      <c r="AL18" s="83"/>
      <c r="AM18" s="83"/>
      <c r="AN18" s="83"/>
      <c r="AO18" s="83"/>
      <c r="AP18" s="83"/>
      <c r="AQ18" s="83"/>
      <c r="AR18" s="83"/>
      <c r="AS18" s="104"/>
      <c r="AT18" s="112"/>
      <c r="AU18" s="112"/>
      <c r="AV18" s="112"/>
      <c r="AW18" s="112"/>
      <c r="AX18" s="112"/>
      <c r="AY18" s="112"/>
      <c r="AZ18" s="104"/>
      <c r="BA18" s="104"/>
      <c r="BB18" s="71"/>
      <c r="BC18" s="71"/>
      <c r="BD18" s="71"/>
      <c r="BE18" s="71"/>
      <c r="BF18" s="71"/>
      <c r="BG18" s="71"/>
      <c r="BH18" s="71"/>
      <c r="BI18" s="71"/>
      <c r="BJ18" s="71"/>
      <c r="BK18" s="71"/>
      <c r="BL18" s="71"/>
      <c r="BM18" s="71"/>
    </row>
    <row r="19" spans="1:65" s="72" customFormat="1" ht="21">
      <c r="A19" s="10"/>
      <c r="B19" s="64" t="s">
        <v>35</v>
      </c>
      <c r="C19" s="65"/>
      <c r="D19" s="66" t="s">
        <v>30</v>
      </c>
      <c r="E19" s="67" t="s">
        <v>36</v>
      </c>
      <c r="F19" s="68"/>
      <c r="G19" s="69"/>
      <c r="H19" s="70"/>
      <c r="I19" s="70" t="str">
        <f t="shared" ca="1" si="6"/>
        <v/>
      </c>
      <c r="J19" s="71"/>
      <c r="K19" s="71"/>
      <c r="L19" s="71"/>
      <c r="M19" s="71"/>
      <c r="N19" s="71"/>
      <c r="O19" s="71"/>
      <c r="P19" s="71"/>
      <c r="Q19" s="71"/>
      <c r="R19" s="71"/>
      <c r="S19" s="71"/>
      <c r="T19" s="71"/>
      <c r="U19" s="71"/>
      <c r="V19" s="71"/>
      <c r="W19" s="71"/>
      <c r="X19" s="71"/>
      <c r="Y19" s="71"/>
      <c r="Z19" s="71"/>
      <c r="AA19" s="71"/>
      <c r="AB19" s="83"/>
      <c r="AC19" s="83"/>
      <c r="AD19" s="83"/>
      <c r="AE19" s="83"/>
      <c r="AF19" s="115"/>
      <c r="AG19" s="83"/>
      <c r="AH19" s="104"/>
      <c r="AI19" s="104"/>
      <c r="AJ19" s="127"/>
      <c r="AK19" s="112"/>
      <c r="AL19" s="112"/>
      <c r="AM19" s="112"/>
      <c r="AN19" s="112"/>
      <c r="AO19" s="112"/>
      <c r="AP19" s="112"/>
      <c r="AQ19" s="104"/>
      <c r="AR19" s="83"/>
      <c r="AS19" s="83"/>
      <c r="AT19" s="83"/>
      <c r="AU19" s="83"/>
      <c r="AV19" s="83"/>
      <c r="AW19" s="71"/>
      <c r="AX19" s="71"/>
      <c r="AY19" s="71"/>
      <c r="AZ19" s="71"/>
      <c r="BA19" s="71"/>
      <c r="BB19" s="71"/>
      <c r="BC19" s="71"/>
      <c r="BD19" s="71"/>
      <c r="BE19" s="71"/>
      <c r="BF19" s="71"/>
      <c r="BG19" s="71"/>
      <c r="BH19" s="71"/>
      <c r="BI19" s="71"/>
      <c r="BJ19" s="71"/>
      <c r="BK19" s="71"/>
      <c r="BL19" s="71"/>
      <c r="BM19" s="71"/>
    </row>
    <row r="20" spans="1:65" s="72" customFormat="1" ht="21">
      <c r="A20" s="10"/>
      <c r="B20" s="64" t="s">
        <v>37</v>
      </c>
      <c r="C20" s="65"/>
      <c r="D20" s="66" t="s">
        <v>30</v>
      </c>
      <c r="E20" s="67" t="s">
        <v>38</v>
      </c>
      <c r="F20" s="68"/>
      <c r="G20" s="69"/>
      <c r="H20" s="70"/>
      <c r="I20" s="70" t="str">
        <f t="shared" ca="1" si="6"/>
        <v/>
      </c>
      <c r="J20" s="71"/>
      <c r="K20" s="71"/>
      <c r="L20" s="71"/>
      <c r="M20" s="71"/>
      <c r="N20" s="71"/>
      <c r="O20" s="71"/>
      <c r="P20" s="71"/>
      <c r="Q20" s="71"/>
      <c r="R20" s="71"/>
      <c r="S20" s="71"/>
      <c r="T20" s="71"/>
      <c r="U20" s="71"/>
      <c r="V20" s="71"/>
      <c r="W20" s="71"/>
      <c r="X20" s="71"/>
      <c r="Y20" s="71"/>
      <c r="Z20" s="71"/>
      <c r="AA20" s="71"/>
      <c r="AB20" s="83"/>
      <c r="AC20" s="83"/>
      <c r="AD20" s="83"/>
      <c r="AE20" s="83"/>
      <c r="AF20" s="83"/>
      <c r="AG20" s="83"/>
      <c r="AH20" s="83"/>
      <c r="AI20" s="83"/>
      <c r="AJ20" s="83"/>
      <c r="AK20" s="83"/>
      <c r="AL20" s="83"/>
      <c r="AM20" s="83"/>
      <c r="AN20" s="83"/>
      <c r="AO20" s="83"/>
      <c r="AP20" s="104"/>
      <c r="AQ20" s="112"/>
      <c r="AR20" s="112"/>
      <c r="AS20" s="112"/>
      <c r="AT20" s="112"/>
      <c r="AU20" s="104"/>
      <c r="AV20" s="104"/>
      <c r="AW20" s="104"/>
      <c r="AX20" s="71"/>
      <c r="AY20" s="71"/>
      <c r="AZ20" s="71"/>
      <c r="BA20" s="71"/>
      <c r="BB20" s="71"/>
      <c r="BC20" s="71"/>
      <c r="BD20" s="71"/>
      <c r="BE20" s="71"/>
      <c r="BF20" s="71"/>
      <c r="BG20" s="71"/>
      <c r="BH20" s="71"/>
      <c r="BI20" s="71"/>
      <c r="BJ20" s="71"/>
      <c r="BK20" s="71"/>
      <c r="BL20" s="71"/>
      <c r="BM20" s="71"/>
    </row>
    <row r="21" spans="1:65" s="72" customFormat="1" ht="21">
      <c r="A21" s="10"/>
      <c r="B21" s="64" t="s">
        <v>39</v>
      </c>
      <c r="C21" s="65"/>
      <c r="D21" s="66" t="s">
        <v>15</v>
      </c>
      <c r="E21" s="67" t="s">
        <v>40</v>
      </c>
      <c r="F21" s="68"/>
      <c r="G21" s="69"/>
      <c r="H21" s="70"/>
      <c r="I21" s="70" t="str">
        <f t="shared" ca="1" si="6"/>
        <v/>
      </c>
      <c r="J21" s="71"/>
      <c r="K21" s="71"/>
      <c r="L21" s="71"/>
      <c r="M21" s="71"/>
      <c r="N21" s="71"/>
      <c r="O21" s="71"/>
      <c r="P21" s="71"/>
      <c r="Q21" s="71"/>
      <c r="R21" s="71"/>
      <c r="S21" s="71"/>
      <c r="T21" s="71"/>
      <c r="U21" s="71"/>
      <c r="V21" s="71"/>
      <c r="W21" s="71"/>
      <c r="X21" s="71"/>
      <c r="Y21" s="71"/>
      <c r="Z21" s="71"/>
      <c r="AA21" s="71"/>
      <c r="AB21" s="83"/>
      <c r="AC21" s="83"/>
      <c r="AD21" s="83"/>
      <c r="AE21" s="83"/>
      <c r="AF21" s="83"/>
      <c r="AG21" s="83"/>
      <c r="AH21" s="83"/>
      <c r="AI21" s="83"/>
      <c r="AJ21" s="83"/>
      <c r="AK21" s="83"/>
      <c r="AL21" s="83"/>
      <c r="AM21" s="83"/>
      <c r="AN21" s="83"/>
      <c r="AO21" s="83"/>
      <c r="AP21" s="83"/>
      <c r="AQ21" s="83"/>
      <c r="AR21" s="83"/>
      <c r="AS21" s="83"/>
      <c r="AT21" s="83"/>
      <c r="AU21" s="83"/>
      <c r="AV21" s="83"/>
      <c r="AW21" s="71"/>
      <c r="AX21" s="71"/>
      <c r="AY21" s="71"/>
      <c r="AZ21" s="71"/>
      <c r="BA21" s="104"/>
      <c r="BB21" s="104"/>
      <c r="BC21" s="104"/>
      <c r="BD21" s="71"/>
      <c r="BE21" s="71"/>
      <c r="BF21" s="71"/>
      <c r="BG21" s="71"/>
      <c r="BH21" s="71"/>
      <c r="BI21" s="71"/>
      <c r="BJ21" s="71"/>
      <c r="BK21" s="71"/>
      <c r="BL21" s="71"/>
      <c r="BM21" s="71"/>
    </row>
    <row r="22" spans="1:65" s="72" customFormat="1" ht="21">
      <c r="A22" s="10"/>
      <c r="B22" s="64" t="s">
        <v>41</v>
      </c>
      <c r="C22" s="65"/>
      <c r="D22" s="66" t="s">
        <v>27</v>
      </c>
      <c r="E22" s="67" t="s">
        <v>42</v>
      </c>
      <c r="F22" s="68"/>
      <c r="G22" s="69"/>
      <c r="H22" s="70"/>
      <c r="I22" s="70" t="str">
        <f t="shared" ca="1" si="6"/>
        <v/>
      </c>
      <c r="J22" s="71"/>
      <c r="K22" s="71"/>
      <c r="L22" s="71"/>
      <c r="M22" s="71"/>
      <c r="N22" s="71"/>
      <c r="O22" s="71"/>
      <c r="P22" s="71"/>
      <c r="Q22" s="71"/>
      <c r="R22" s="71"/>
      <c r="S22" s="71"/>
      <c r="T22" s="71"/>
      <c r="U22" s="71"/>
      <c r="V22" s="71"/>
      <c r="W22" s="71"/>
      <c r="X22" s="71"/>
      <c r="Y22" s="71"/>
      <c r="Z22" s="71"/>
      <c r="AA22" s="71"/>
      <c r="AB22" s="83"/>
      <c r="AC22" s="83"/>
      <c r="AD22" s="83"/>
      <c r="AE22" s="83"/>
      <c r="AF22" s="83"/>
      <c r="AG22" s="83"/>
      <c r="AH22" s="83"/>
      <c r="AI22" s="83"/>
      <c r="AJ22" s="83"/>
      <c r="AK22" s="83"/>
      <c r="AL22" s="83"/>
      <c r="AM22" s="83"/>
      <c r="AN22" s="83"/>
      <c r="AO22" s="83"/>
      <c r="AP22" s="83"/>
      <c r="AQ22" s="104"/>
      <c r="AR22" s="104"/>
      <c r="AS22" s="112"/>
      <c r="AT22" s="112"/>
      <c r="AU22" s="104"/>
      <c r="AV22" s="104"/>
      <c r="AW22" s="71"/>
      <c r="AX22" s="71"/>
      <c r="AY22" s="71"/>
      <c r="AZ22" s="71"/>
      <c r="BA22" s="71"/>
      <c r="BB22" s="71"/>
      <c r="BC22" s="71"/>
      <c r="BD22" s="71"/>
      <c r="BE22" s="71"/>
      <c r="BF22" s="71"/>
      <c r="BG22" s="71"/>
      <c r="BH22" s="71"/>
      <c r="BI22" s="71"/>
      <c r="BJ22" s="71"/>
      <c r="BK22" s="71"/>
      <c r="BL22" s="71"/>
      <c r="BM22" s="71"/>
    </row>
    <row r="23" spans="1:65" s="72" customFormat="1" ht="21">
      <c r="A23" s="10"/>
      <c r="B23" s="72" t="s">
        <v>43</v>
      </c>
      <c r="D23" s="66" t="s">
        <v>27</v>
      </c>
      <c r="E23" s="67" t="s">
        <v>44</v>
      </c>
      <c r="F23" s="68"/>
      <c r="G23" s="69"/>
      <c r="H23" s="70"/>
      <c r="I23" s="70" t="str">
        <f t="shared" ca="1" si="6"/>
        <v/>
      </c>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83"/>
      <c r="AR23" s="104"/>
      <c r="AS23" s="104"/>
      <c r="AT23" s="104"/>
      <c r="AU23" s="112"/>
      <c r="AV23" s="104"/>
      <c r="AW23" s="71"/>
      <c r="AX23" s="71"/>
      <c r="AY23" s="71"/>
      <c r="AZ23" s="71"/>
      <c r="BA23" s="71"/>
      <c r="BB23" s="71"/>
      <c r="BC23" s="71"/>
      <c r="BD23" s="71"/>
      <c r="BE23" s="71"/>
      <c r="BF23" s="71"/>
      <c r="BG23" s="71"/>
      <c r="BH23" s="71"/>
      <c r="BI23" s="71"/>
      <c r="BJ23" s="71"/>
      <c r="BK23" s="71"/>
      <c r="BL23" s="71"/>
      <c r="BM23" s="71"/>
    </row>
    <row r="24" spans="1:65" s="72" customFormat="1" ht="21">
      <c r="A24" s="10"/>
      <c r="B24" s="72" t="s">
        <v>45</v>
      </c>
      <c r="D24" s="66" t="s">
        <v>27</v>
      </c>
      <c r="E24" s="66" t="s">
        <v>46</v>
      </c>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104"/>
      <c r="AX24" s="104"/>
      <c r="AY24" s="104"/>
      <c r="AZ24" s="112"/>
      <c r="BA24" s="112"/>
      <c r="BB24" s="71"/>
      <c r="BC24" s="71"/>
      <c r="BD24" s="71"/>
      <c r="BE24" s="71"/>
      <c r="BF24" s="71"/>
      <c r="BG24" s="71"/>
      <c r="BH24" s="71"/>
      <c r="BI24" s="71"/>
      <c r="BJ24" s="71"/>
      <c r="BK24" s="71"/>
      <c r="BL24" s="71"/>
      <c r="BM24" s="71"/>
    </row>
    <row r="25" spans="1:65" s="72" customFormat="1" ht="21">
      <c r="A25" s="10"/>
      <c r="B25" s="101" t="s">
        <v>47</v>
      </c>
      <c r="C25" s="109"/>
      <c r="D25" s="66"/>
      <c r="E25" s="67"/>
      <c r="F25" s="68"/>
      <c r="G25" s="69"/>
      <c r="H25" s="70"/>
      <c r="I25" s="70" t="str">
        <f t="shared" ca="1" si="6"/>
        <v/>
      </c>
      <c r="J25" s="71"/>
      <c r="K25" s="71"/>
      <c r="L25" s="71"/>
      <c r="M25" s="71"/>
      <c r="N25" s="71"/>
      <c r="O25" s="71"/>
      <c r="P25" s="71"/>
      <c r="Q25" s="71"/>
      <c r="R25" s="71"/>
      <c r="S25" s="71"/>
      <c r="T25" s="71"/>
      <c r="U25" s="71"/>
      <c r="V25" s="71"/>
      <c r="W25" s="71"/>
      <c r="X25" s="71"/>
      <c r="Y25" s="71"/>
      <c r="Z25" s="71"/>
      <c r="AA25" s="71"/>
      <c r="AB25" s="71"/>
      <c r="AC25" s="119"/>
      <c r="AD25" s="119"/>
      <c r="AE25" s="119"/>
      <c r="AF25" s="119"/>
      <c r="AG25" s="119"/>
      <c r="AH25" s="119"/>
      <c r="AI25" s="119"/>
      <c r="AJ25" s="119"/>
      <c r="AK25" s="119"/>
      <c r="AL25" s="119"/>
      <c r="AM25" s="119"/>
      <c r="AN25" s="119"/>
      <c r="AO25" s="119"/>
      <c r="AP25" s="119"/>
      <c r="AQ25" s="119"/>
      <c r="AR25" s="71"/>
      <c r="AS25" s="71"/>
      <c r="AT25" s="71"/>
      <c r="AU25" s="71"/>
      <c r="AV25" s="71"/>
      <c r="AW25" s="71"/>
      <c r="AX25" s="71"/>
      <c r="AY25" s="71"/>
      <c r="AZ25" s="71"/>
      <c r="BA25" s="71"/>
      <c r="BB25" s="71"/>
      <c r="BC25" s="71"/>
      <c r="BD25" s="71"/>
      <c r="BE25" s="71"/>
      <c r="BF25" s="71"/>
      <c r="BG25" s="71"/>
      <c r="BH25" s="71"/>
      <c r="BI25" s="71"/>
      <c r="BJ25" s="71"/>
      <c r="BK25" s="71"/>
      <c r="BL25" s="71"/>
      <c r="BM25" s="71"/>
    </row>
    <row r="26" spans="1:65" s="72" customFormat="1" ht="21">
      <c r="A26" s="10"/>
      <c r="B26" s="64" t="s">
        <v>48</v>
      </c>
      <c r="C26" s="65"/>
      <c r="D26" s="66" t="s">
        <v>49</v>
      </c>
      <c r="E26" s="67" t="s">
        <v>50</v>
      </c>
      <c r="F26" s="68"/>
      <c r="G26" s="69"/>
      <c r="H26" s="70"/>
      <c r="I26" s="70" t="str">
        <f t="shared" ca="1" si="6"/>
        <v/>
      </c>
      <c r="J26" s="71"/>
      <c r="K26" s="71"/>
      <c r="L26" s="71"/>
      <c r="M26" s="71"/>
      <c r="N26" s="71"/>
      <c r="O26" s="71"/>
      <c r="P26" s="71"/>
      <c r="Q26" s="71"/>
      <c r="R26" s="71"/>
      <c r="S26" s="71"/>
      <c r="T26" s="71"/>
      <c r="U26" s="110"/>
      <c r="V26" s="111"/>
      <c r="W26" s="111"/>
      <c r="X26" s="111"/>
      <c r="Y26" s="111"/>
      <c r="Z26" s="111"/>
      <c r="AA26" s="111"/>
      <c r="AB26" s="111"/>
      <c r="AC26" s="111"/>
      <c r="AD26" s="110"/>
      <c r="AF26" s="83"/>
      <c r="AG26" s="83"/>
      <c r="AH26" s="83"/>
      <c r="AI26" s="83"/>
      <c r="AJ26" s="115"/>
      <c r="AK26" s="83"/>
      <c r="AL26" s="83"/>
      <c r="AM26" s="83"/>
      <c r="AN26" s="83"/>
      <c r="AO26" s="83"/>
      <c r="AP26" s="83"/>
      <c r="AQ26" s="83"/>
      <c r="AR26" s="83"/>
      <c r="AS26" s="71"/>
      <c r="AT26" s="71"/>
      <c r="AU26" s="71"/>
      <c r="AV26" s="71"/>
      <c r="AW26" s="71"/>
      <c r="AX26" s="71"/>
      <c r="AY26" s="71"/>
      <c r="AZ26" s="71"/>
      <c r="BA26" s="71"/>
      <c r="BB26" s="71"/>
      <c r="BC26" s="71"/>
      <c r="BD26" s="71"/>
      <c r="BE26" s="71"/>
      <c r="BF26" s="71"/>
      <c r="BG26" s="71"/>
      <c r="BH26" s="71"/>
      <c r="BI26" s="71"/>
      <c r="BJ26" s="71"/>
      <c r="BK26" s="71"/>
      <c r="BL26" s="71"/>
      <c r="BM26" s="71"/>
    </row>
    <row r="27" spans="1:65" s="72" customFormat="1" ht="21">
      <c r="A27" s="10"/>
      <c r="B27" s="72" t="s">
        <v>51</v>
      </c>
      <c r="D27" s="66" t="s">
        <v>49</v>
      </c>
      <c r="E27" s="66" t="s">
        <v>52</v>
      </c>
      <c r="F27" s="68"/>
      <c r="G27" s="69"/>
      <c r="H27" s="70"/>
      <c r="I27" s="70" t="str">
        <f t="shared" ca="1" si="6"/>
        <v/>
      </c>
      <c r="J27" s="71"/>
      <c r="K27" s="71"/>
      <c r="L27" s="71"/>
      <c r="M27" s="71"/>
      <c r="N27" s="71"/>
      <c r="O27" s="71"/>
      <c r="P27" s="71"/>
      <c r="Q27" s="71"/>
      <c r="R27" s="71"/>
      <c r="S27" s="71"/>
      <c r="T27" s="71"/>
      <c r="U27" s="71"/>
      <c r="V27" s="71"/>
      <c r="W27" s="71"/>
      <c r="X27" s="71"/>
      <c r="Y27" s="71"/>
      <c r="Z27" s="71"/>
      <c r="AA27" s="71"/>
      <c r="AB27" s="71"/>
      <c r="AC27" s="71"/>
      <c r="AD27" s="110"/>
      <c r="AE27" s="110"/>
      <c r="AF27" s="110"/>
      <c r="AG27" s="110"/>
      <c r="AH27" s="111"/>
      <c r="AI27" s="111"/>
      <c r="AJ27" s="111"/>
      <c r="AK27" s="111"/>
      <c r="AL27" s="111"/>
      <c r="AM27" s="111"/>
      <c r="AN27" s="111"/>
      <c r="AO27" s="110"/>
      <c r="AP27" s="110"/>
      <c r="AQ27" s="110"/>
      <c r="AR27" s="83"/>
      <c r="AS27" s="83"/>
      <c r="AT27" s="83"/>
      <c r="AU27" s="83"/>
      <c r="AV27" s="83"/>
      <c r="AW27" s="83"/>
      <c r="AX27" s="83"/>
      <c r="AY27" s="83"/>
      <c r="AZ27" s="83"/>
      <c r="BA27" s="83"/>
      <c r="BB27" s="71"/>
      <c r="BC27" s="71"/>
      <c r="BD27" s="71"/>
      <c r="BE27" s="71"/>
      <c r="BF27" s="71"/>
      <c r="BG27" s="71"/>
      <c r="BH27" s="71"/>
      <c r="BI27" s="71"/>
      <c r="BJ27" s="71"/>
      <c r="BK27" s="71"/>
      <c r="BL27" s="71"/>
      <c r="BM27" s="71"/>
    </row>
    <row r="28" spans="1:65" s="72" customFormat="1" ht="21">
      <c r="A28" s="10"/>
      <c r="B28" s="64" t="s">
        <v>53</v>
      </c>
      <c r="C28" s="65"/>
      <c r="D28" s="66" t="s">
        <v>49</v>
      </c>
      <c r="E28" s="67" t="s">
        <v>54</v>
      </c>
      <c r="F28" s="68"/>
      <c r="G28" s="69"/>
      <c r="H28" s="70"/>
      <c r="I28" s="70" t="str">
        <f t="shared" ca="1" si="6"/>
        <v/>
      </c>
      <c r="J28" s="71"/>
      <c r="K28" s="71"/>
      <c r="L28" s="71"/>
      <c r="M28" s="71"/>
      <c r="N28" s="71"/>
      <c r="O28" s="71"/>
      <c r="P28" s="71"/>
      <c r="Q28" s="71"/>
      <c r="R28" s="71"/>
      <c r="S28" s="71"/>
      <c r="T28" s="71"/>
      <c r="U28" s="83"/>
      <c r="V28" s="83"/>
      <c r="W28" s="83"/>
      <c r="X28" s="110"/>
      <c r="Y28" s="110"/>
      <c r="Z28" s="110"/>
      <c r="AA28" s="110"/>
      <c r="AB28" s="111"/>
      <c r="AC28" s="111"/>
      <c r="AD28" s="111"/>
      <c r="AE28" s="111"/>
      <c r="AF28" s="111"/>
      <c r="AG28" s="111"/>
      <c r="AH28" s="111"/>
      <c r="AI28" s="111"/>
      <c r="AJ28" s="111"/>
      <c r="AK28" s="110"/>
      <c r="AL28" s="111"/>
      <c r="AM28" s="111"/>
      <c r="AN28" s="111"/>
      <c r="AO28" s="111"/>
      <c r="AP28" s="111"/>
      <c r="AQ28" s="110"/>
      <c r="AR28" s="110"/>
      <c r="AS28" s="83"/>
      <c r="AT28" s="83"/>
      <c r="AU28" s="83"/>
      <c r="AV28" s="83"/>
      <c r="AW28" s="83"/>
      <c r="AX28" s="83"/>
      <c r="AY28" s="83"/>
      <c r="AZ28" s="83"/>
      <c r="BA28" s="83"/>
      <c r="BB28" s="71"/>
      <c r="BC28" s="71"/>
      <c r="BD28" s="71"/>
      <c r="BE28" s="71"/>
      <c r="BF28" s="71"/>
      <c r="BG28" s="71"/>
      <c r="BH28" s="71"/>
      <c r="BI28" s="71"/>
      <c r="BJ28" s="71"/>
      <c r="BK28" s="71"/>
      <c r="BL28" s="71"/>
      <c r="BM28" s="71"/>
    </row>
    <row r="29" spans="1:65" s="72" customFormat="1" ht="21">
      <c r="A29" s="10"/>
      <c r="B29" s="64" t="s">
        <v>55</v>
      </c>
      <c r="C29" s="65"/>
      <c r="D29" s="66" t="s">
        <v>56</v>
      </c>
      <c r="E29" s="67" t="s">
        <v>54</v>
      </c>
      <c r="F29" s="68"/>
      <c r="G29" s="69"/>
      <c r="H29" s="70"/>
      <c r="I29" s="70" t="str">
        <f t="shared" ca="1" si="6"/>
        <v/>
      </c>
      <c r="J29" s="71"/>
      <c r="K29" s="71"/>
      <c r="L29" s="71"/>
      <c r="M29" s="71"/>
      <c r="N29" s="71"/>
      <c r="O29" s="71"/>
      <c r="P29" s="71"/>
      <c r="Q29" s="71"/>
      <c r="R29" s="71"/>
      <c r="S29" s="71"/>
      <c r="T29" s="71"/>
      <c r="U29" s="83"/>
      <c r="V29" s="83"/>
      <c r="W29" s="83"/>
      <c r="X29" s="110"/>
      <c r="Y29" s="110"/>
      <c r="Z29" s="110"/>
      <c r="AA29" s="110"/>
      <c r="AB29" s="111"/>
      <c r="AC29" s="111"/>
      <c r="AD29" s="111"/>
      <c r="AE29" s="111"/>
      <c r="AF29" s="111"/>
      <c r="AG29" s="111"/>
      <c r="AH29" s="110"/>
      <c r="AI29" s="110"/>
      <c r="AJ29" s="111"/>
      <c r="AK29" s="110"/>
      <c r="AL29" s="110"/>
      <c r="AM29" s="111"/>
      <c r="AN29" s="111"/>
      <c r="AO29" s="111"/>
      <c r="AP29" s="111"/>
      <c r="AQ29" s="110"/>
      <c r="AR29" s="110"/>
      <c r="AS29" s="111"/>
      <c r="AT29" s="111"/>
      <c r="AU29" s="111"/>
      <c r="AV29" s="110"/>
      <c r="AW29" s="110"/>
      <c r="AX29" s="83"/>
      <c r="AY29" s="83"/>
      <c r="AZ29" s="83"/>
      <c r="BA29" s="83"/>
      <c r="BB29" s="71"/>
      <c r="BC29" s="71"/>
      <c r="BD29" s="71"/>
      <c r="BE29" s="71"/>
      <c r="BF29" s="71"/>
      <c r="BG29" s="71"/>
      <c r="BH29" s="71"/>
      <c r="BI29" s="71"/>
      <c r="BJ29" s="71"/>
      <c r="BK29" s="71"/>
      <c r="BL29" s="71"/>
      <c r="BM29" s="71"/>
    </row>
    <row r="30" spans="1:65" s="72" customFormat="1" ht="21">
      <c r="A30" s="10"/>
      <c r="B30" s="64" t="s">
        <v>57</v>
      </c>
      <c r="C30" s="65"/>
      <c r="D30" s="66" t="s">
        <v>49</v>
      </c>
      <c r="E30" s="67" t="s">
        <v>58</v>
      </c>
      <c r="F30" s="68"/>
      <c r="G30" s="69"/>
      <c r="H30" s="70"/>
      <c r="I30" s="70" t="str">
        <f t="shared" ca="1" si="6"/>
        <v/>
      </c>
      <c r="J30" s="71"/>
      <c r="K30" s="71"/>
      <c r="L30" s="71"/>
      <c r="M30" s="71"/>
      <c r="N30" s="71"/>
      <c r="O30" s="71"/>
      <c r="P30" s="71"/>
      <c r="Q30" s="71"/>
      <c r="R30" s="71"/>
      <c r="S30" s="71"/>
      <c r="T30" s="71"/>
      <c r="U30" s="83"/>
      <c r="V30" s="83"/>
      <c r="W30" s="83"/>
      <c r="X30" s="110"/>
      <c r="Y30" s="110"/>
      <c r="Z30" s="110"/>
      <c r="AA30" s="110"/>
      <c r="AB30" s="111"/>
      <c r="AC30" s="111"/>
      <c r="AD30" s="111"/>
      <c r="AE30" s="111"/>
      <c r="AF30" s="111"/>
      <c r="AG30" s="111"/>
      <c r="AH30" s="111"/>
      <c r="AI30" s="110"/>
      <c r="AJ30" s="111"/>
      <c r="AK30" s="110"/>
      <c r="AL30" s="111"/>
      <c r="AM30" s="111"/>
      <c r="AN30" s="111"/>
      <c r="AO30" s="111"/>
      <c r="AP30" s="111"/>
      <c r="AQ30" s="111"/>
      <c r="AR30" s="111"/>
      <c r="AS30" s="111"/>
      <c r="AT30" s="111"/>
      <c r="AU30" s="111"/>
      <c r="AV30" s="110"/>
      <c r="AW30" s="110"/>
      <c r="AX30" s="83"/>
      <c r="AY30" s="83"/>
      <c r="AZ30" s="83"/>
      <c r="BA30" s="83"/>
      <c r="BB30" s="71"/>
      <c r="BC30" s="71"/>
      <c r="BD30" s="71"/>
      <c r="BE30" s="71"/>
      <c r="BF30" s="71"/>
      <c r="BG30" s="71"/>
      <c r="BH30" s="71"/>
      <c r="BI30" s="71"/>
      <c r="BJ30" s="71"/>
      <c r="BK30" s="71"/>
      <c r="BL30" s="71"/>
      <c r="BM30" s="71"/>
    </row>
    <row r="31" spans="1:65" s="72" customFormat="1" ht="21">
      <c r="A31" s="10"/>
      <c r="B31" s="64" t="s">
        <v>59</v>
      </c>
      <c r="C31" s="65"/>
      <c r="D31" s="66" t="s">
        <v>56</v>
      </c>
      <c r="E31" s="67" t="s">
        <v>60</v>
      </c>
      <c r="F31" s="68"/>
      <c r="G31" s="69"/>
      <c r="H31" s="70"/>
      <c r="I31" s="70" t="str">
        <f t="shared" ca="1" si="6"/>
        <v/>
      </c>
      <c r="J31" s="71"/>
      <c r="K31" s="71"/>
      <c r="L31" s="71"/>
      <c r="M31" s="71"/>
      <c r="N31" s="83"/>
      <c r="O31" s="71"/>
      <c r="P31" s="71"/>
      <c r="Q31" s="71"/>
      <c r="R31" s="71"/>
      <c r="S31" s="71"/>
      <c r="T31" s="71"/>
      <c r="U31" s="83"/>
      <c r="V31" s="83"/>
      <c r="W31" s="83"/>
      <c r="X31" s="83"/>
      <c r="Y31" s="83"/>
      <c r="Z31" s="83"/>
      <c r="AA31" s="83"/>
      <c r="AB31" s="83"/>
      <c r="AC31" s="83"/>
      <c r="AD31" s="83"/>
      <c r="AE31" s="83"/>
      <c r="AF31" s="83"/>
      <c r="AG31" s="83"/>
      <c r="AH31" s="83"/>
      <c r="AI31" s="83"/>
      <c r="AJ31" s="110"/>
      <c r="AK31" s="110"/>
      <c r="AL31" s="110"/>
      <c r="AM31" s="110"/>
      <c r="AN31" s="110"/>
      <c r="AO31" s="110"/>
      <c r="AP31" s="110"/>
      <c r="AQ31" s="110"/>
      <c r="AR31" s="110"/>
      <c r="AS31" s="110"/>
      <c r="AT31" s="110"/>
      <c r="AU31" s="110"/>
      <c r="AV31" s="110"/>
      <c r="AW31" s="110"/>
      <c r="AX31" s="110"/>
      <c r="AY31" s="110"/>
      <c r="AZ31" s="110"/>
      <c r="BA31" s="110"/>
      <c r="BB31" s="71"/>
      <c r="BC31" s="71"/>
      <c r="BD31" s="71"/>
      <c r="BE31" s="71"/>
      <c r="BF31" s="71"/>
      <c r="BG31" s="71"/>
      <c r="BH31" s="71"/>
      <c r="BI31" s="71"/>
      <c r="BJ31" s="71"/>
      <c r="BK31" s="71"/>
      <c r="BL31" s="71"/>
      <c r="BM31" s="71"/>
    </row>
    <row r="32" spans="1:65" s="72" customFormat="1" ht="21">
      <c r="A32" s="10"/>
      <c r="B32" s="72" t="s">
        <v>61</v>
      </c>
      <c r="D32" s="66" t="s">
        <v>49</v>
      </c>
      <c r="E32" s="93" t="s">
        <v>62</v>
      </c>
      <c r="F32" s="68"/>
      <c r="G32" s="69"/>
      <c r="H32" s="70"/>
      <c r="I32" s="70" t="str">
        <f t="shared" ca="1" si="6"/>
        <v/>
      </c>
      <c r="J32" s="71"/>
      <c r="K32" s="71"/>
      <c r="L32" s="71"/>
      <c r="M32" s="71"/>
      <c r="N32" s="71"/>
      <c r="O32" s="71"/>
      <c r="P32" s="71"/>
      <c r="Q32" s="71"/>
      <c r="R32" s="71"/>
      <c r="S32" s="71"/>
      <c r="T32" s="71"/>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110"/>
      <c r="AV32" s="110"/>
      <c r="AW32" s="110"/>
      <c r="AX32" s="83"/>
      <c r="AY32" s="83"/>
      <c r="AZ32" s="83"/>
      <c r="BA32" s="83"/>
      <c r="BB32" s="71"/>
      <c r="BC32" s="71"/>
      <c r="BD32" s="71"/>
      <c r="BE32" s="71"/>
      <c r="BF32" s="71"/>
      <c r="BG32" s="71"/>
      <c r="BH32" s="71"/>
      <c r="BI32" s="71"/>
      <c r="BJ32" s="71"/>
      <c r="BK32" s="71"/>
      <c r="BL32" s="71"/>
      <c r="BM32" s="71"/>
    </row>
    <row r="33" spans="1:65" s="72" customFormat="1" ht="21">
      <c r="A33" s="10"/>
      <c r="B33" s="72" t="s">
        <v>45</v>
      </c>
      <c r="D33" s="66" t="s">
        <v>49</v>
      </c>
      <c r="E33" s="66" t="s">
        <v>63</v>
      </c>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110"/>
      <c r="AW33" s="110"/>
      <c r="AX33" s="111"/>
      <c r="AY33" s="111"/>
      <c r="AZ33" s="110"/>
      <c r="BA33" s="110"/>
      <c r="BB33" s="71"/>
      <c r="BC33" s="71"/>
      <c r="BD33" s="71"/>
      <c r="BE33" s="71"/>
      <c r="BF33" s="71"/>
      <c r="BG33" s="71"/>
      <c r="BH33" s="71"/>
      <c r="BI33" s="71"/>
      <c r="BJ33" s="71"/>
      <c r="BK33" s="71"/>
      <c r="BL33" s="71"/>
      <c r="BM33" s="71"/>
    </row>
    <row r="34" spans="1:65" s="72" customFormat="1" ht="21">
      <c r="A34" s="10"/>
      <c r="B34" s="102" t="s">
        <v>64</v>
      </c>
      <c r="C34" s="102"/>
      <c r="D34" s="66"/>
      <c r="E34" s="67"/>
      <c r="F34" s="68"/>
      <c r="G34" s="69"/>
      <c r="H34" s="70"/>
      <c r="I34" s="70" t="str">
        <f t="shared" ca="1" si="6"/>
        <v/>
      </c>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1"/>
    </row>
    <row r="35" spans="1:65" s="72" customFormat="1" ht="21">
      <c r="A35" s="10"/>
      <c r="B35" s="64" t="s">
        <v>65</v>
      </c>
      <c r="C35" s="65"/>
      <c r="D35" s="66" t="s">
        <v>66</v>
      </c>
      <c r="E35" s="66" t="s">
        <v>67</v>
      </c>
      <c r="J35" s="71"/>
      <c r="K35" s="71"/>
      <c r="L35" s="71"/>
      <c r="M35" s="71"/>
      <c r="N35" s="71"/>
      <c r="O35" s="71"/>
      <c r="P35" s="71"/>
      <c r="Q35" s="71"/>
      <c r="R35" s="71"/>
      <c r="S35" s="71"/>
      <c r="T35" s="71"/>
      <c r="U35" s="83"/>
      <c r="V35" s="83"/>
      <c r="W35" s="83"/>
      <c r="X35" s="83"/>
      <c r="Y35" s="83"/>
      <c r="Z35" s="83"/>
      <c r="AA35" s="83"/>
      <c r="AB35" s="83"/>
      <c r="AC35" s="83"/>
      <c r="AD35" s="83"/>
      <c r="AE35" s="83"/>
      <c r="AF35" s="83"/>
      <c r="AG35" s="83"/>
      <c r="AH35" s="83"/>
      <c r="AI35" s="103"/>
      <c r="AJ35" s="103"/>
      <c r="AK35" s="103"/>
      <c r="AL35" s="103"/>
      <c r="AM35" s="103"/>
      <c r="AN35" s="83"/>
      <c r="AO35" s="83"/>
      <c r="AP35" s="83"/>
      <c r="AQ35" s="83"/>
      <c r="AR35" s="83"/>
      <c r="AS35" s="83"/>
      <c r="AT35" s="83"/>
      <c r="AU35" s="83"/>
      <c r="AV35" s="83"/>
      <c r="AW35" s="83"/>
      <c r="AX35" s="83"/>
      <c r="AY35" s="83"/>
      <c r="AZ35" s="83"/>
      <c r="BA35" s="83"/>
      <c r="BB35" s="71"/>
      <c r="BC35" s="71"/>
      <c r="BD35" s="71"/>
      <c r="BE35" s="71"/>
      <c r="BF35" s="71"/>
      <c r="BG35" s="71"/>
      <c r="BH35" s="71"/>
      <c r="BI35" s="71"/>
      <c r="BJ35" s="71"/>
      <c r="BK35" s="71"/>
      <c r="BL35" s="71"/>
      <c r="BM35" s="71"/>
    </row>
    <row r="36" spans="1:65" s="72" customFormat="1" ht="21">
      <c r="A36" s="10"/>
      <c r="B36" s="64" t="s">
        <v>29</v>
      </c>
      <c r="C36" s="65"/>
      <c r="D36" s="66" t="s">
        <v>66</v>
      </c>
      <c r="E36" s="67" t="s">
        <v>68</v>
      </c>
      <c r="F36" s="68"/>
      <c r="G36" s="69"/>
      <c r="H36" s="70"/>
      <c r="I36" s="70" t="str">
        <f t="shared" ca="1" si="6"/>
        <v/>
      </c>
      <c r="J36" s="71"/>
      <c r="K36" s="71"/>
      <c r="L36" s="71"/>
      <c r="M36" s="71"/>
      <c r="N36" s="71"/>
      <c r="O36" s="71"/>
      <c r="P36" s="71"/>
      <c r="Q36" s="71"/>
      <c r="R36" s="71"/>
      <c r="S36" s="71"/>
      <c r="T36" s="71"/>
      <c r="U36" s="83"/>
      <c r="V36" s="83"/>
      <c r="W36" s="83"/>
      <c r="X36" s="83"/>
      <c r="Y36" s="83"/>
      <c r="Z36" s="83"/>
      <c r="AA36" s="83"/>
      <c r="AB36" s="83"/>
      <c r="AC36" s="83"/>
      <c r="AD36" s="83"/>
      <c r="AE36" s="83"/>
      <c r="AF36" s="83"/>
      <c r="AG36" s="83"/>
      <c r="AH36" s="83"/>
      <c r="AI36" s="103"/>
      <c r="AJ36" s="103"/>
      <c r="AK36" s="103"/>
      <c r="AL36" s="103"/>
      <c r="AM36" s="103"/>
      <c r="AN36" s="120"/>
      <c r="AO36" s="120"/>
      <c r="AP36" s="120"/>
      <c r="AQ36" s="103"/>
      <c r="AR36" s="120"/>
      <c r="AS36" s="103"/>
      <c r="AT36" s="103"/>
      <c r="AU36" s="103"/>
      <c r="AV36" s="103"/>
      <c r="AW36" s="120"/>
      <c r="AX36" s="120"/>
      <c r="AY36" s="120"/>
      <c r="AZ36" s="103"/>
      <c r="BA36" s="103"/>
      <c r="BB36" s="71"/>
      <c r="BC36" s="71"/>
      <c r="BD36" s="71"/>
      <c r="BE36" s="71"/>
      <c r="BF36" s="71"/>
      <c r="BG36" s="71"/>
      <c r="BH36" s="71"/>
      <c r="BI36" s="71"/>
      <c r="BJ36" s="71"/>
      <c r="BK36" s="71"/>
      <c r="BL36" s="71"/>
      <c r="BM36" s="71"/>
    </row>
    <row r="37" spans="1:65" s="72" customFormat="1" ht="21">
      <c r="A37" s="10"/>
      <c r="B37" s="72" t="s">
        <v>69</v>
      </c>
      <c r="D37" s="66" t="s">
        <v>66</v>
      </c>
      <c r="E37" s="66" t="s">
        <v>68</v>
      </c>
      <c r="J37" s="71"/>
      <c r="K37" s="71"/>
      <c r="L37" s="71"/>
      <c r="M37" s="71"/>
      <c r="N37" s="71"/>
      <c r="O37" s="71"/>
      <c r="P37" s="71"/>
      <c r="Q37" s="71"/>
      <c r="R37" s="71"/>
      <c r="S37" s="71"/>
      <c r="T37" s="71"/>
      <c r="U37" s="71"/>
      <c r="V37" s="71"/>
      <c r="W37" s="71"/>
      <c r="X37" s="71"/>
      <c r="Y37" s="71"/>
      <c r="Z37" s="71"/>
      <c r="AA37" s="71"/>
      <c r="AB37" s="83"/>
      <c r="AC37" s="83"/>
      <c r="AD37" s="83"/>
      <c r="AE37" s="83"/>
      <c r="AF37" s="83"/>
      <c r="AG37" s="83"/>
      <c r="AH37" s="83"/>
      <c r="AI37" s="103"/>
      <c r="AJ37" s="103"/>
      <c r="AK37" s="103"/>
      <c r="AL37" s="120"/>
      <c r="AM37" s="120"/>
      <c r="AN37" s="120"/>
      <c r="AO37" s="120"/>
      <c r="AP37" s="120"/>
      <c r="AQ37" s="103"/>
      <c r="AR37" s="120"/>
      <c r="AS37" s="103"/>
      <c r="AT37" s="103"/>
      <c r="AU37" s="103"/>
      <c r="AV37" s="103"/>
      <c r="AW37" s="120"/>
      <c r="AX37" s="120"/>
      <c r="AY37" s="120"/>
      <c r="AZ37" s="103"/>
      <c r="BA37" s="103"/>
      <c r="BB37" s="71"/>
      <c r="BC37" s="71"/>
      <c r="BD37" s="71"/>
      <c r="BE37" s="71"/>
      <c r="BF37" s="71"/>
      <c r="BG37" s="71"/>
      <c r="BH37" s="71"/>
      <c r="BI37" s="71"/>
      <c r="BJ37" s="71"/>
      <c r="BK37" s="71"/>
      <c r="BL37" s="71"/>
      <c r="BM37" s="71"/>
    </row>
    <row r="38" spans="1:65" s="72" customFormat="1" ht="21">
      <c r="A38" s="10"/>
      <c r="B38" s="97" t="s">
        <v>70</v>
      </c>
      <c r="C38" s="65"/>
      <c r="D38" s="66" t="s">
        <v>66</v>
      </c>
      <c r="E38" s="67" t="s">
        <v>60</v>
      </c>
      <c r="F38" s="68"/>
      <c r="G38" s="69"/>
      <c r="H38" s="70"/>
      <c r="I38" s="70" t="str">
        <f t="shared" ca="1" si="6"/>
        <v/>
      </c>
      <c r="J38" s="71"/>
      <c r="K38" s="71"/>
      <c r="L38" s="71"/>
      <c r="M38" s="71"/>
      <c r="N38" s="71"/>
      <c r="O38" s="71"/>
      <c r="P38" s="71"/>
      <c r="Q38" s="71"/>
      <c r="R38" s="71"/>
      <c r="S38" s="71"/>
      <c r="T38" s="71"/>
      <c r="U38" s="83"/>
      <c r="V38" s="83"/>
      <c r="W38" s="83"/>
      <c r="X38" s="83"/>
      <c r="Y38" s="83"/>
      <c r="Z38" s="83"/>
      <c r="AA38" s="83"/>
      <c r="AB38" s="83"/>
      <c r="AC38" s="83"/>
      <c r="AD38" s="83"/>
      <c r="AE38" s="83"/>
      <c r="AF38" s="83"/>
      <c r="AG38" s="83"/>
      <c r="AH38" s="83"/>
      <c r="AI38" s="83"/>
      <c r="AJ38" s="103"/>
      <c r="AK38" s="103"/>
      <c r="AL38" s="120"/>
      <c r="AM38" s="120"/>
      <c r="AN38" s="120"/>
      <c r="AO38" s="120"/>
      <c r="AP38" s="120"/>
      <c r="AQ38" s="103"/>
      <c r="AR38" s="120"/>
      <c r="AS38" s="103"/>
      <c r="AT38" s="103"/>
      <c r="AU38" s="103"/>
      <c r="AV38" s="103"/>
      <c r="AW38" s="120"/>
      <c r="AX38" s="120"/>
      <c r="AY38" s="120"/>
      <c r="AZ38" s="103"/>
      <c r="BA38" s="103"/>
      <c r="BB38" s="71"/>
      <c r="BC38" s="71"/>
      <c r="BD38" s="71"/>
      <c r="BE38" s="71"/>
      <c r="BF38" s="71"/>
      <c r="BG38" s="71"/>
      <c r="BH38" s="71"/>
      <c r="BI38" s="71"/>
      <c r="BJ38" s="71"/>
      <c r="BK38" s="71"/>
      <c r="BL38" s="71"/>
      <c r="BM38" s="71"/>
    </row>
    <row r="39" spans="1:65" s="72" customFormat="1" ht="21">
      <c r="A39" s="10"/>
      <c r="B39" s="64" t="s">
        <v>71</v>
      </c>
      <c r="C39" s="65"/>
      <c r="D39" s="66" t="s">
        <v>66</v>
      </c>
      <c r="E39" s="67" t="s">
        <v>60</v>
      </c>
      <c r="F39" s="68"/>
      <c r="G39" s="69"/>
      <c r="H39" s="70"/>
      <c r="I39" s="70" t="str">
        <f t="shared" ca="1" si="6"/>
        <v/>
      </c>
      <c r="J39" s="71"/>
      <c r="K39" s="71"/>
      <c r="L39" s="71"/>
      <c r="M39" s="71"/>
      <c r="N39" s="71"/>
      <c r="O39" s="71"/>
      <c r="P39" s="71"/>
      <c r="Q39" s="71"/>
      <c r="R39" s="71"/>
      <c r="S39" s="71"/>
      <c r="T39" s="71"/>
      <c r="U39" s="83"/>
      <c r="V39" s="83"/>
      <c r="W39" s="83"/>
      <c r="X39" s="83"/>
      <c r="Y39" s="83"/>
      <c r="Z39" s="83"/>
      <c r="AA39" s="83"/>
      <c r="AB39" s="83"/>
      <c r="AC39" s="83"/>
      <c r="AD39" s="83"/>
      <c r="AE39" s="83"/>
      <c r="AF39" s="83"/>
      <c r="AG39" s="83"/>
      <c r="AH39" s="83"/>
      <c r="AI39" s="83"/>
      <c r="AJ39" s="103"/>
      <c r="AK39" s="103"/>
      <c r="AL39" s="120"/>
      <c r="AM39" s="120"/>
      <c r="AN39" s="120"/>
      <c r="AO39" s="120"/>
      <c r="AP39" s="120"/>
      <c r="AQ39" s="103"/>
      <c r="AR39" s="120"/>
      <c r="AS39" s="103"/>
      <c r="AT39" s="103"/>
      <c r="AU39" s="103"/>
      <c r="AV39" s="103"/>
      <c r="AW39" s="120"/>
      <c r="AX39" s="120"/>
      <c r="AY39" s="120"/>
      <c r="AZ39" s="103"/>
      <c r="BA39" s="103"/>
      <c r="BB39" s="71"/>
      <c r="BC39" s="71"/>
      <c r="BD39" s="71"/>
      <c r="BE39" s="71"/>
      <c r="BF39" s="71"/>
      <c r="BG39" s="71"/>
      <c r="BH39" s="71"/>
      <c r="BI39" s="71"/>
      <c r="BJ39" s="71"/>
      <c r="BK39" s="71"/>
      <c r="BL39" s="71"/>
      <c r="BM39" s="71"/>
    </row>
    <row r="40" spans="1:65" s="72" customFormat="1" ht="21">
      <c r="A40" s="10"/>
      <c r="B40" s="64" t="s">
        <v>72</v>
      </c>
      <c r="C40" s="65"/>
      <c r="D40" s="66" t="s">
        <v>66</v>
      </c>
      <c r="E40" s="67" t="s">
        <v>60</v>
      </c>
      <c r="F40" s="68"/>
      <c r="G40" s="69"/>
      <c r="H40" s="70"/>
      <c r="I40" s="70" t="str">
        <f t="shared" ca="1" si="6"/>
        <v/>
      </c>
      <c r="J40" s="71"/>
      <c r="K40" s="71"/>
      <c r="L40" s="71"/>
      <c r="M40" s="71"/>
      <c r="N40" s="71"/>
      <c r="O40" s="71"/>
      <c r="P40" s="71"/>
      <c r="Q40" s="71"/>
      <c r="R40" s="71"/>
      <c r="S40" s="71"/>
      <c r="T40" s="71"/>
      <c r="U40" s="83"/>
      <c r="V40" s="83"/>
      <c r="W40" s="83"/>
      <c r="X40" s="83"/>
      <c r="Y40" s="83"/>
      <c r="Z40" s="83"/>
      <c r="AA40" s="83"/>
      <c r="AB40" s="83"/>
      <c r="AC40" s="83"/>
      <c r="AD40" s="83"/>
      <c r="AE40" s="83"/>
      <c r="AF40" s="83"/>
      <c r="AG40" s="83"/>
      <c r="AH40" s="83"/>
      <c r="AI40" s="83"/>
      <c r="AJ40" s="103"/>
      <c r="AK40" s="103"/>
      <c r="AL40" s="120"/>
      <c r="AM40" s="120"/>
      <c r="AN40" s="120"/>
      <c r="AO40" s="120"/>
      <c r="AP40" s="120"/>
      <c r="AQ40" s="103"/>
      <c r="AR40" s="120"/>
      <c r="AS40" s="103"/>
      <c r="AT40" s="103"/>
      <c r="AU40" s="103"/>
      <c r="AV40" s="103"/>
      <c r="AW40" s="120"/>
      <c r="AX40" s="120"/>
      <c r="AY40" s="120"/>
      <c r="AZ40" s="103"/>
      <c r="BA40" s="103"/>
      <c r="BB40" s="71"/>
      <c r="BC40" s="71"/>
      <c r="BD40" s="71"/>
      <c r="BE40" s="71"/>
      <c r="BF40" s="71"/>
      <c r="BG40" s="71"/>
      <c r="BH40" s="71"/>
      <c r="BI40" s="71"/>
      <c r="BJ40" s="71"/>
      <c r="BK40" s="71"/>
      <c r="BL40" s="71"/>
      <c r="BM40" s="71"/>
    </row>
    <row r="41" spans="1:65" s="72" customFormat="1" ht="21">
      <c r="A41" s="10"/>
      <c r="B41" s="64" t="s">
        <v>73</v>
      </c>
      <c r="C41" s="65"/>
      <c r="D41" s="66" t="s">
        <v>66</v>
      </c>
      <c r="E41" s="67" t="s">
        <v>74</v>
      </c>
      <c r="F41" s="68"/>
      <c r="G41" s="69"/>
      <c r="H41" s="70"/>
      <c r="I41" s="70" t="str">
        <f t="shared" ca="1" si="6"/>
        <v/>
      </c>
      <c r="J41" s="71"/>
      <c r="K41" s="71"/>
      <c r="L41" s="71"/>
      <c r="M41" s="71"/>
      <c r="N41" s="71"/>
      <c r="O41" s="71"/>
      <c r="P41" s="71"/>
      <c r="Q41" s="71"/>
      <c r="R41" s="71"/>
      <c r="S41" s="71"/>
      <c r="T41" s="71"/>
      <c r="U41" s="83"/>
      <c r="V41" s="83"/>
      <c r="W41" s="83"/>
      <c r="X41" s="83"/>
      <c r="Y41" s="83"/>
      <c r="Z41" s="83"/>
      <c r="AA41" s="83"/>
      <c r="AB41" s="83"/>
      <c r="AC41" s="83"/>
      <c r="AD41" s="83"/>
      <c r="AE41" s="83"/>
      <c r="AF41" s="83"/>
      <c r="AG41" s="83"/>
      <c r="AH41" s="83"/>
      <c r="AI41" s="83"/>
      <c r="AJ41" s="83"/>
      <c r="AK41" s="83"/>
      <c r="AL41" s="83"/>
      <c r="AM41" s="83"/>
      <c r="AN41" s="83"/>
      <c r="AO41" s="83"/>
      <c r="AP41" s="83"/>
      <c r="AQ41" s="103"/>
      <c r="AR41" s="120"/>
      <c r="AS41" s="103"/>
      <c r="AT41" s="103"/>
      <c r="AU41" s="103"/>
      <c r="AV41" s="103"/>
      <c r="AW41" s="103"/>
      <c r="AX41" s="103"/>
      <c r="AY41" s="103"/>
      <c r="AZ41" s="103"/>
      <c r="BA41" s="103"/>
      <c r="BB41" s="71"/>
      <c r="BC41" s="71"/>
      <c r="BD41" s="71"/>
      <c r="BE41" s="71"/>
      <c r="BF41" s="71"/>
      <c r="BG41" s="71"/>
      <c r="BH41" s="71"/>
      <c r="BI41" s="71"/>
      <c r="BJ41" s="71"/>
      <c r="BK41" s="71"/>
      <c r="BL41" s="71"/>
      <c r="BM41" s="71"/>
    </row>
    <row r="42" spans="1:65" s="72" customFormat="1" ht="21">
      <c r="A42" s="10"/>
      <c r="B42" s="125" t="s">
        <v>75</v>
      </c>
      <c r="C42" s="126"/>
      <c r="E42" s="67"/>
      <c r="F42" s="68"/>
      <c r="G42" s="69"/>
      <c r="H42" s="70"/>
      <c r="I42" s="70" t="str">
        <f t="shared" ca="1" si="6"/>
        <v/>
      </c>
      <c r="J42" s="71"/>
      <c r="K42" s="71"/>
      <c r="L42" s="71"/>
      <c r="M42" s="71"/>
      <c r="N42" s="71"/>
      <c r="O42" s="71"/>
      <c r="P42" s="71"/>
      <c r="Q42" s="71"/>
      <c r="R42" s="71"/>
      <c r="S42" s="71"/>
      <c r="T42" s="71"/>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71"/>
      <c r="BC42" s="71"/>
      <c r="BD42" s="71"/>
      <c r="BE42" s="71"/>
      <c r="BF42" s="71"/>
      <c r="BG42" s="71"/>
      <c r="BH42" s="71"/>
      <c r="BI42" s="71"/>
      <c r="BJ42" s="71"/>
      <c r="BK42" s="71"/>
      <c r="BL42" s="71"/>
      <c r="BM42" s="71"/>
    </row>
    <row r="43" spans="1:65" s="72" customFormat="1" ht="21">
      <c r="A43" s="10"/>
      <c r="B43" s="64" t="s">
        <v>76</v>
      </c>
      <c r="D43" s="72" t="s">
        <v>77</v>
      </c>
      <c r="BB43" s="71"/>
      <c r="BC43" s="71"/>
      <c r="BD43" s="71"/>
      <c r="BE43" s="71"/>
      <c r="BF43" s="71"/>
      <c r="BG43" s="71"/>
      <c r="BH43" s="71"/>
      <c r="BI43" s="71"/>
      <c r="BJ43" s="71"/>
      <c r="BK43" s="71"/>
      <c r="BL43" s="71"/>
      <c r="BM43" s="71"/>
    </row>
    <row r="44" spans="1:65" s="72" customFormat="1" ht="21">
      <c r="A44" s="10"/>
      <c r="B44" s="64"/>
      <c r="C44" s="65"/>
      <c r="D44" s="66"/>
      <c r="F44" s="68"/>
      <c r="G44" s="69"/>
      <c r="H44" s="70"/>
      <c r="I44" s="70" t="str">
        <f t="shared" ca="1" si="6"/>
        <v/>
      </c>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row>
    <row r="45" spans="1:65" s="72" customFormat="1" ht="21">
      <c r="A45" s="10"/>
      <c r="D45" s="66"/>
      <c r="E45" s="67"/>
      <c r="F45" s="68"/>
      <c r="G45" s="69"/>
      <c r="H45" s="70"/>
      <c r="I45" s="70" t="str">
        <f t="shared" ca="1" si="6"/>
        <v/>
      </c>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row>
    <row r="46" spans="1:65" s="72" customFormat="1" ht="21">
      <c r="A46" s="10"/>
      <c r="B46" s="64"/>
      <c r="C46" s="65"/>
      <c r="D46" s="66"/>
      <c r="E46" s="67"/>
      <c r="F46" s="68"/>
      <c r="G46" s="69"/>
      <c r="H46" s="70"/>
      <c r="I46" s="70" t="str">
        <f t="shared" ca="1" si="6"/>
        <v/>
      </c>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row>
    <row r="47" spans="1:65" s="72" customFormat="1" ht="21">
      <c r="A47" s="10"/>
      <c r="B47" s="64"/>
      <c r="C47" s="65"/>
      <c r="D47" s="66"/>
      <c r="E47" s="67"/>
      <c r="F47" s="68"/>
      <c r="G47" s="69"/>
      <c r="H47" s="70"/>
      <c r="I47" s="70" t="str">
        <f t="shared" ca="1" si="6"/>
        <v/>
      </c>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row>
    <row r="48" spans="1:65" s="72" customFormat="1" ht="21">
      <c r="A48" s="10"/>
      <c r="B48" s="64"/>
      <c r="C48" s="65"/>
      <c r="D48" s="66"/>
      <c r="E48" s="67"/>
      <c r="F48" s="68"/>
      <c r="G48" s="69"/>
      <c r="H48" s="70"/>
      <c r="I48" s="70" t="str">
        <f t="shared" ca="1" si="6"/>
        <v/>
      </c>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row>
    <row r="49" spans="1:65" s="72" customFormat="1" ht="21">
      <c r="A49" s="10"/>
      <c r="B49" s="64"/>
      <c r="C49" s="65"/>
      <c r="D49" s="66"/>
      <c r="E49" s="67"/>
      <c r="F49" s="68"/>
      <c r="G49" s="69"/>
      <c r="H49" s="70"/>
      <c r="I49" s="70" t="str">
        <f t="shared" ca="1" si="6"/>
        <v/>
      </c>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row>
    <row r="50" spans="1:65" s="72" customFormat="1" ht="21">
      <c r="A50" s="10"/>
      <c r="B50" s="64"/>
      <c r="C50" s="65"/>
      <c r="D50" s="66"/>
      <c r="E50" s="67"/>
      <c r="F50" s="68"/>
      <c r="G50" s="69"/>
      <c r="H50" s="70"/>
      <c r="I50" s="70"/>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row>
    <row r="51" spans="1:65" s="72" customFormat="1" ht="21">
      <c r="A51" s="10"/>
      <c r="B51" s="64"/>
      <c r="C51" s="65"/>
      <c r="D51" s="66"/>
      <c r="E51" s="67"/>
      <c r="F51" s="68"/>
      <c r="G51" s="69"/>
      <c r="H51" s="70"/>
      <c r="I51" s="70"/>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row>
    <row r="52" spans="1:65" s="72" customFormat="1" ht="21">
      <c r="A52" s="10"/>
      <c r="B52" s="64"/>
      <c r="C52" s="65"/>
      <c r="D52" s="66"/>
      <c r="E52" s="67"/>
      <c r="F52" s="68"/>
      <c r="G52" s="69"/>
      <c r="H52" s="70"/>
      <c r="I52" s="70"/>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row>
    <row r="53" spans="1:65" s="72" customFormat="1" ht="21">
      <c r="A53" s="10"/>
      <c r="B53" s="64"/>
      <c r="C53" s="65"/>
      <c r="D53" s="66"/>
      <c r="E53" s="67"/>
      <c r="F53" s="68"/>
      <c r="G53" s="69"/>
      <c r="H53" s="70"/>
      <c r="I53" s="70"/>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row>
    <row r="54" spans="1:65" s="72" customFormat="1" ht="21">
      <c r="A54" s="10"/>
      <c r="B54" s="64"/>
      <c r="C54" s="65"/>
      <c r="D54" s="66"/>
      <c r="E54" s="67"/>
      <c r="F54" s="68"/>
      <c r="G54" s="69"/>
      <c r="H54" s="70"/>
      <c r="I54" s="70"/>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row>
    <row r="55" spans="1:65" s="72" customFormat="1" ht="21">
      <c r="A55" s="10"/>
      <c r="B55" s="64"/>
      <c r="C55" s="65"/>
      <c r="D55" s="66"/>
      <c r="E55" s="67"/>
      <c r="F55" s="68"/>
      <c r="G55" s="69"/>
      <c r="H55" s="70"/>
      <c r="I55" s="70"/>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row>
    <row r="56" spans="1:65" s="72" customFormat="1" ht="21">
      <c r="A56" s="10"/>
      <c r="B56" s="64"/>
      <c r="C56" s="65"/>
      <c r="D56" s="66"/>
      <c r="E56" s="67"/>
      <c r="F56" s="68"/>
      <c r="G56" s="69"/>
      <c r="H56" s="70"/>
      <c r="I56" s="70"/>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row>
    <row r="57" spans="1:65" s="72" customFormat="1" ht="21">
      <c r="A57" s="10"/>
      <c r="B57" s="64"/>
      <c r="C57" s="65"/>
      <c r="D57" s="66"/>
      <c r="E57" s="67"/>
      <c r="F57" s="68"/>
      <c r="G57" s="69"/>
      <c r="H57" s="70"/>
      <c r="I57" s="70"/>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row>
    <row r="58" spans="1:65" s="72" customFormat="1" ht="21">
      <c r="A58" s="10"/>
      <c r="B58" s="64"/>
      <c r="C58" s="65"/>
      <c r="D58" s="66"/>
      <c r="E58" s="67"/>
      <c r="F58" s="68"/>
      <c r="G58" s="69"/>
      <c r="H58" s="70"/>
      <c r="I58" s="70"/>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row>
    <row r="59" spans="1:65" s="72" customFormat="1" ht="21">
      <c r="A59" s="10"/>
      <c r="B59" s="64"/>
      <c r="C59" s="65"/>
      <c r="D59" s="66"/>
      <c r="E59" s="67"/>
      <c r="F59" s="68"/>
      <c r="G59" s="69"/>
      <c r="H59" s="70"/>
      <c r="I59" s="70"/>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row>
    <row r="60" spans="1:65" s="72" customFormat="1" ht="21">
      <c r="A60" s="10"/>
      <c r="B60" s="64"/>
      <c r="C60" s="65"/>
      <c r="D60" s="66"/>
      <c r="E60" s="67"/>
      <c r="F60" s="68"/>
      <c r="G60" s="69"/>
      <c r="H60" s="70"/>
      <c r="I60" s="70"/>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row>
    <row r="61" spans="1:65" s="72" customFormat="1" ht="21">
      <c r="A61" s="10"/>
      <c r="B61" s="64"/>
      <c r="C61" s="65"/>
      <c r="D61" s="66"/>
      <c r="E61" s="67"/>
      <c r="F61" s="68"/>
      <c r="G61" s="69"/>
      <c r="H61" s="70"/>
      <c r="I61" s="70"/>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row>
    <row r="62" spans="1:65" s="72" customFormat="1" ht="21">
      <c r="A62" s="10"/>
      <c r="B62" s="64"/>
      <c r="C62" s="65"/>
      <c r="D62" s="66"/>
      <c r="E62" s="67"/>
      <c r="F62" s="68"/>
      <c r="G62" s="69"/>
      <c r="H62" s="70"/>
      <c r="I62" s="70"/>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row>
    <row r="63" spans="1:65" s="72" customFormat="1" ht="21">
      <c r="A63" s="10"/>
      <c r="B63" s="64"/>
      <c r="C63" s="65"/>
      <c r="D63" s="66"/>
      <c r="E63" s="67"/>
      <c r="F63" s="68"/>
      <c r="G63" s="69"/>
      <c r="H63" s="70"/>
      <c r="I63" s="70"/>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row>
    <row r="64" spans="1:65" s="72" customFormat="1" ht="21">
      <c r="A64" s="10"/>
      <c r="B64" s="64"/>
      <c r="C64" s="65"/>
      <c r="D64" s="66"/>
      <c r="E64" s="67"/>
      <c r="F64" s="68"/>
      <c r="G64" s="69"/>
      <c r="H64" s="70"/>
      <c r="I64" s="70"/>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row>
    <row r="65" spans="1:65" s="72" customFormat="1" ht="21">
      <c r="A65" s="10"/>
      <c r="B65" s="64"/>
      <c r="C65" s="65"/>
      <c r="D65" s="66"/>
      <c r="E65" s="67"/>
      <c r="F65" s="68"/>
      <c r="G65" s="69"/>
      <c r="H65" s="70"/>
      <c r="I65" s="70"/>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row>
    <row r="66" spans="1:65" s="72" customFormat="1" ht="21">
      <c r="A66" s="10"/>
      <c r="B66" s="64"/>
      <c r="C66" s="65"/>
      <c r="D66" s="66"/>
      <c r="E66" s="67"/>
      <c r="F66" s="68"/>
      <c r="G66" s="69"/>
      <c r="H66" s="70"/>
      <c r="I66" s="70"/>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row>
    <row r="67" spans="1:65" s="72" customFormat="1" ht="21">
      <c r="A67" s="10"/>
      <c r="B67" s="64"/>
      <c r="C67" s="65"/>
      <c r="D67" s="66"/>
      <c r="E67" s="67"/>
      <c r="F67" s="68"/>
      <c r="G67" s="69"/>
      <c r="H67" s="70"/>
      <c r="I67" s="70"/>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row>
    <row r="68" spans="1:65" s="72" customFormat="1" ht="21">
      <c r="A68" s="10"/>
      <c r="B68" s="64"/>
      <c r="C68" s="65"/>
      <c r="D68" s="66"/>
      <c r="E68" s="67"/>
      <c r="F68" s="68"/>
      <c r="G68" s="69"/>
      <c r="H68" s="70"/>
      <c r="I68" s="70"/>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row>
    <row r="69" spans="1:65" s="72" customFormat="1" ht="21">
      <c r="A69" s="10"/>
      <c r="B69" s="64"/>
      <c r="C69" s="65"/>
      <c r="D69" s="66"/>
      <c r="E69" s="67"/>
      <c r="F69" s="68"/>
      <c r="G69" s="69"/>
      <c r="H69" s="70"/>
      <c r="I69" s="70"/>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row>
    <row r="70" spans="1:65" s="72" customFormat="1" ht="21">
      <c r="A70" s="10"/>
      <c r="B70" s="64"/>
      <c r="C70" s="65"/>
      <c r="D70" s="66"/>
      <c r="E70" s="67"/>
      <c r="F70" s="68"/>
      <c r="G70" s="69"/>
      <c r="H70" s="70"/>
      <c r="I70" s="70"/>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row>
    <row r="71" spans="1:65" s="72" customFormat="1" ht="21">
      <c r="A71" s="10"/>
      <c r="B71" s="64"/>
      <c r="C71" s="65"/>
      <c r="D71" s="66"/>
      <c r="E71" s="67"/>
      <c r="F71" s="68"/>
      <c r="G71" s="69"/>
      <c r="H71" s="70"/>
      <c r="I71" s="70"/>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row>
    <row r="72" spans="1:65" s="72" customFormat="1" ht="21">
      <c r="A72" s="10"/>
      <c r="B72" s="64"/>
      <c r="C72" s="65"/>
      <c r="D72" s="66"/>
      <c r="E72" s="67"/>
      <c r="F72" s="68"/>
      <c r="G72" s="69"/>
      <c r="H72" s="70"/>
      <c r="I72" s="70"/>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row>
    <row r="73" spans="1:65" s="72" customFormat="1" ht="21">
      <c r="A73" s="10"/>
      <c r="B73" s="64"/>
      <c r="C73" s="65"/>
      <c r="D73" s="66"/>
      <c r="E73" s="67"/>
      <c r="F73" s="68"/>
      <c r="G73" s="69"/>
      <c r="H73" s="70"/>
      <c r="I73" s="70"/>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row>
    <row r="74" spans="1:65" s="72" customFormat="1" ht="21">
      <c r="A74" s="10"/>
      <c r="B74" s="64"/>
      <c r="C74" s="65"/>
      <c r="D74" s="66"/>
      <c r="E74" s="67"/>
      <c r="F74" s="68"/>
      <c r="G74" s="69"/>
      <c r="H74" s="70"/>
      <c r="I74" s="70"/>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row>
    <row r="75" spans="1:65" s="72" customFormat="1" ht="21">
      <c r="A75" s="10"/>
      <c r="B75" s="64"/>
      <c r="C75" s="65"/>
      <c r="D75" s="66"/>
      <c r="E75" s="67"/>
      <c r="F75" s="68"/>
      <c r="G75" s="69"/>
      <c r="H75" s="70"/>
      <c r="I75" s="70"/>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row>
    <row r="76" spans="1:65" s="72" customFormat="1" ht="21">
      <c r="A76" s="10"/>
      <c r="B76" s="64"/>
      <c r="C76" s="65"/>
      <c r="D76" s="66"/>
      <c r="E76" s="67"/>
      <c r="F76" s="68"/>
      <c r="G76" s="69"/>
      <c r="H76" s="70"/>
      <c r="I76" s="70"/>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row>
    <row r="77" spans="1:65" s="72" customFormat="1" ht="21">
      <c r="A77" s="10"/>
      <c r="B77" s="64"/>
      <c r="C77" s="65"/>
      <c r="D77" s="66"/>
      <c r="E77" s="67"/>
      <c r="F77" s="68"/>
      <c r="G77" s="69"/>
      <c r="H77" s="70"/>
      <c r="I77" s="70"/>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row>
    <row r="78" spans="1:65" s="72" customFormat="1" ht="21">
      <c r="A78" s="10"/>
      <c r="B78" s="64"/>
      <c r="C78" s="65"/>
      <c r="D78" s="66"/>
      <c r="E78" s="67"/>
      <c r="F78" s="68"/>
      <c r="G78" s="69"/>
      <c r="H78" s="70"/>
      <c r="I78" s="70" t="str">
        <f t="shared" ca="1" si="6"/>
        <v/>
      </c>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row>
    <row r="79" spans="1:65" s="72" customFormat="1" ht="21">
      <c r="A79" s="10"/>
      <c r="B79" s="64"/>
      <c r="C79" s="65"/>
      <c r="D79" s="66"/>
      <c r="E79" s="67"/>
      <c r="F79" s="68"/>
      <c r="G79" s="69"/>
      <c r="H79" s="70"/>
      <c r="I79" s="70" t="str">
        <f t="shared" ca="1" si="6"/>
        <v/>
      </c>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row>
    <row r="80" spans="1:65" s="72" customFormat="1" ht="21">
      <c r="A80" s="10"/>
      <c r="B80" s="64"/>
      <c r="C80" s="65"/>
      <c r="D80" s="66"/>
      <c r="E80" s="67"/>
      <c r="F80" s="68"/>
      <c r="G80" s="69"/>
      <c r="H80" s="70"/>
      <c r="I80" s="70" t="str">
        <f t="shared" ca="1" si="6"/>
        <v/>
      </c>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row>
    <row r="81" spans="1:65" s="72" customFormat="1" ht="21">
      <c r="A81" s="10"/>
      <c r="B81" s="73" t="s">
        <v>78</v>
      </c>
      <c r="C81" s="74"/>
      <c r="D81" s="75"/>
      <c r="E81" s="76"/>
      <c r="F81" s="77"/>
      <c r="G81" s="78"/>
      <c r="H81" s="79"/>
      <c r="I81" s="79" t="str">
        <f t="shared" ca="1" si="6"/>
        <v/>
      </c>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80"/>
      <c r="BK81" s="80"/>
      <c r="BL81" s="80"/>
      <c r="BM81" s="80"/>
    </row>
    <row r="82" spans="1:65" ht="21">
      <c r="A82" s="10"/>
      <c r="H82" s="5"/>
    </row>
    <row r="83" spans="1:65">
      <c r="B83" s="8" t="s">
        <v>79</v>
      </c>
      <c r="C83" s="8"/>
      <c r="D83" s="8"/>
      <c r="G83" s="21">
        <v>43113</v>
      </c>
    </row>
    <row r="84" spans="1:65">
      <c r="B84" s="25" t="s">
        <v>80</v>
      </c>
      <c r="C84" s="25"/>
      <c r="D84" s="9"/>
    </row>
    <row r="85" spans="1:65">
      <c r="B85" s="24" t="s">
        <v>81</v>
      </c>
      <c r="C85" s="24"/>
    </row>
  </sheetData>
  <mergeCells count="9">
    <mergeCell ref="K1:AB1"/>
    <mergeCell ref="AL4:AR4"/>
    <mergeCell ref="AS4:AY4"/>
    <mergeCell ref="AZ4:BF4"/>
    <mergeCell ref="BG4:BM4"/>
    <mergeCell ref="J4:P4"/>
    <mergeCell ref="Q4:W4"/>
    <mergeCell ref="X4:AD4"/>
    <mergeCell ref="AE4:AK4"/>
  </mergeCells>
  <conditionalFormatting sqref="E7:E13 E36 E45:E81 E15:E23 E25:E26 E28:E32 E34 E38:E42">
    <cfRule type="dataBar" priority="31">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AK26 J19:AE19 AT19:BM19 AG19:AI19 AL19:AR19 J5:BM11 J13:BM18 J12:X12 Z12 AB12:AY12 BB12:BM12 J26:AD26 AF26:AI26 J27:BA32 AM26:BA26 J20:BM22 J36:BA36 J23:BA23 J25:BA25 BB23:BM44 J45:BM81 J44:BA45 J38:BA42">
    <cfRule type="expression" dxfId="35" priority="46">
      <formula>AND(today&gt;=J$5,today&lt;J$5+1)</formula>
    </cfRule>
  </conditionalFormatting>
  <conditionalFormatting sqref="AK26 J19:AE19 AT19:BM19 AG19:AI19 AL19:AR19 J7:BM11 J13:BM18 J12:X12 Z12 AB12:AY12 BB12:BM12 J26:AD26 AF26:AI26 J27:BA32 AM26:BA26 J20:BM22 J36:BA36 J23:BA23 J25:BA25 BB23:BM44 J45:BM81 J44:BA45 J38:BA42">
    <cfRule type="expression" dxfId="34" priority="44">
      <formula>AND(task_start&lt;=J$5,ROUNDDOWN((task_end-task_start+1)*task_progress,0)+task_start-1&gt;=J$5)</formula>
    </cfRule>
    <cfRule type="expression" dxfId="33" priority="45" stopIfTrue="1">
      <formula>AND(task_end&gt;=J$5,task_start&lt;J$5+1)</formula>
    </cfRule>
  </conditionalFormatting>
  <conditionalFormatting sqref="AL26">
    <cfRule type="expression" dxfId="32" priority="48">
      <formula>AND(today&gt;=AJ$5,today&lt;AJ$5+1)</formula>
    </cfRule>
  </conditionalFormatting>
  <conditionalFormatting sqref="AL26">
    <cfRule type="expression" dxfId="31" priority="52">
      <formula>AND(task_start&lt;=AJ$5,ROUNDDOWN((task_end-task_start+1)*task_progress,0)+task_start-1&gt;=AJ$5)</formula>
    </cfRule>
    <cfRule type="expression" dxfId="30" priority="53" stopIfTrue="1">
      <formula>AND(task_end&gt;=AJ$5,task_start&lt;AJ$5+1)</formula>
    </cfRule>
  </conditionalFormatting>
  <conditionalFormatting sqref="AS19">
    <cfRule type="expression" dxfId="29" priority="55">
      <formula>AND(today&gt;=AF$5,today&lt;AF$5+1)</formula>
    </cfRule>
  </conditionalFormatting>
  <conditionalFormatting sqref="AS19">
    <cfRule type="expression" dxfId="28" priority="58">
      <formula>AND(task_start&lt;=AF$5,ROUNDDOWN((task_end-task_start+1)*task_progress,0)+task_start-1&gt;=AF$5)</formula>
    </cfRule>
    <cfRule type="expression" dxfId="27" priority="59" stopIfTrue="1">
      <formula>AND(task_end&gt;=AF$5,task_start&lt;AF$5+1)</formula>
    </cfRule>
  </conditionalFormatting>
  <conditionalFormatting sqref="AK19 BA12">
    <cfRule type="expression" dxfId="26" priority="61">
      <formula>AND(today&gt;=AJ$5,today&lt;AJ$5+1)</formula>
    </cfRule>
  </conditionalFormatting>
  <conditionalFormatting sqref="AK19 BA12">
    <cfRule type="expression" dxfId="25" priority="64">
      <formula>AND(task_start&lt;=AJ$5,ROUNDDOWN((task_end-task_start+1)*task_progress,0)+task_start-1&gt;=AJ$5)</formula>
    </cfRule>
    <cfRule type="expression" dxfId="24" priority="65" stopIfTrue="1">
      <formula>AND(task_end&gt;=AJ$5,task_start&lt;AJ$5+1)</formula>
    </cfRule>
  </conditionalFormatting>
  <conditionalFormatting sqref="Y12">
    <cfRule type="expression" dxfId="23" priority="67">
      <formula>AND(today&gt;=AA$5,today&lt;AA$5+1)</formula>
    </cfRule>
  </conditionalFormatting>
  <conditionalFormatting sqref="Y12">
    <cfRule type="expression" dxfId="22" priority="70">
      <formula>AND(task_start&lt;=AA$5,ROUNDDOWN((task_end-task_start+1)*task_progress,0)+task_start-1&gt;=AA$5)</formula>
    </cfRule>
    <cfRule type="expression" dxfId="21" priority="71" stopIfTrue="1">
      <formula>AND(task_end&gt;=AA$5,task_start&lt;AA$5+1)</formula>
    </cfRule>
  </conditionalFormatting>
  <conditionalFormatting sqref="AM26">
    <cfRule type="expression" dxfId="20" priority="73">
      <formula>AND(today&gt;=AE$5,today&lt;AE$5+1)</formula>
    </cfRule>
  </conditionalFormatting>
  <conditionalFormatting sqref="AM26">
    <cfRule type="expression" dxfId="19" priority="76">
      <formula>AND(task_start&lt;=AE$5,ROUNDDOWN((task_end-task_start+1)*task_progress,0)+task_start-1&gt;=AE$5)</formula>
    </cfRule>
    <cfRule type="expression" dxfId="18" priority="77" stopIfTrue="1">
      <formula>AND(task_end&gt;=AE$5,task_start&lt;AE$5+1)</formula>
    </cfRule>
  </conditionalFormatting>
  <conditionalFormatting sqref="AJ35:BA35">
    <cfRule type="expression" dxfId="17" priority="18">
      <formula>AND(today&gt;=AJ$5,today&lt;AJ$5+1)</formula>
    </cfRule>
  </conditionalFormatting>
  <conditionalFormatting sqref="AJ35:BA35">
    <cfRule type="expression" dxfId="16" priority="16">
      <formula>AND(task_start&lt;=AJ$5,ROUNDDOWN((task_end-task_start+1)*task_progress,0)+task_start-1&gt;=AJ$5)</formula>
    </cfRule>
    <cfRule type="expression" dxfId="15" priority="17" stopIfTrue="1">
      <formula>AND(task_end&gt;=AJ$5,task_start&lt;AJ$5+1)</formula>
    </cfRule>
  </conditionalFormatting>
  <conditionalFormatting sqref="J35:AI35">
    <cfRule type="expression" dxfId="14" priority="15">
      <formula>AND(today&gt;=J$5,today&lt;J$5+1)</formula>
    </cfRule>
  </conditionalFormatting>
  <conditionalFormatting sqref="J35:AI35">
    <cfRule type="expression" dxfId="13" priority="13">
      <formula>AND(task_start&lt;=J$5,ROUNDDOWN((task_end-task_start+1)*task_progress,0)+task_start-1&gt;=J$5)</formula>
    </cfRule>
    <cfRule type="expression" dxfId="12" priority="14" stopIfTrue="1">
      <formula>AND(task_end&gt;=J$5,task_start&lt;J$5+1)</formula>
    </cfRule>
  </conditionalFormatting>
  <conditionalFormatting sqref="J34:BA34">
    <cfRule type="expression" dxfId="11" priority="12">
      <formula>AND(today&gt;=J$5,today&lt;J$5+1)</formula>
    </cfRule>
  </conditionalFormatting>
  <conditionalFormatting sqref="J34:BA34">
    <cfRule type="expression" dxfId="10" priority="10">
      <formula>AND(task_start&lt;=J$5,ROUNDDOWN((task_end-task_start+1)*task_progress,0)+task_start-1&gt;=J$5)</formula>
    </cfRule>
    <cfRule type="expression" dxfId="9" priority="11" stopIfTrue="1">
      <formula>AND(task_end&gt;=J$5,task_start&lt;J$5+1)</formula>
    </cfRule>
  </conditionalFormatting>
  <conditionalFormatting sqref="J37:BA37">
    <cfRule type="expression" dxfId="8" priority="9">
      <formula>AND(today&gt;=J$5,today&lt;J$5+1)</formula>
    </cfRule>
  </conditionalFormatting>
  <conditionalFormatting sqref="J37:BA37">
    <cfRule type="expression" dxfId="7" priority="7">
      <formula>AND(task_start&lt;=J$5,ROUNDDOWN((task_end-task_start+1)*task_progress,0)+task_start-1&gt;=J$5)</formula>
    </cfRule>
    <cfRule type="expression" dxfId="6" priority="8" stopIfTrue="1">
      <formula>AND(task_end&gt;=J$5,task_start&lt;J$5+1)</formula>
    </cfRule>
  </conditionalFormatting>
  <conditionalFormatting sqref="J33:BA33">
    <cfRule type="expression" dxfId="5" priority="6">
      <formula>AND(today&gt;=J$5,today&lt;J$5+1)</formula>
    </cfRule>
  </conditionalFormatting>
  <conditionalFormatting sqref="J33:BA33">
    <cfRule type="expression" dxfId="4" priority="4">
      <formula>AND(task_start&lt;=J$5,ROUNDDOWN((task_end-task_start+1)*task_progress,0)+task_start-1&gt;=J$5)</formula>
    </cfRule>
    <cfRule type="expression" dxfId="3" priority="5" stopIfTrue="1">
      <formula>AND(task_end&gt;=J$5,task_start&lt;J$5+1)</formula>
    </cfRule>
  </conditionalFormatting>
  <conditionalFormatting sqref="J24:BA24">
    <cfRule type="expression" dxfId="2" priority="3">
      <formula>AND(today&gt;=J$5,today&lt;J$5+1)</formula>
    </cfRule>
  </conditionalFormatting>
  <conditionalFormatting sqref="J24:BA24">
    <cfRule type="expression" dxfId="1" priority="1">
      <formula>AND(task_start&lt;=J$5,ROUNDDOWN((task_end-task_start+1)*task_progress,0)+task_start-1&gt;=J$5)</formula>
    </cfRule>
    <cfRule type="expression" dxfId="0" priority="2" stopIfTrue="1">
      <formula>AND(task_end&gt;=J$5,task_start&lt;J$5+1)</formula>
    </cfRule>
  </conditionalFormatting>
  <hyperlinks>
    <hyperlink ref="B84" r:id="rId1" xr:uid="{00000000-0004-0000-0000-000000000000}"/>
    <hyperlink ref="B83"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E7:E13 E36 E45:E81 E15:E23 E25:E26 E28:E32 E34 E38:E42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5711-9899-4D55-968B-AE33DB5B4D6E}">
  <dimension ref="A1:C48"/>
  <sheetViews>
    <sheetView showGridLines="0" topLeftCell="A2" zoomScaleNormal="100" workbookViewId="0">
      <selection activeCell="A2" sqref="A2"/>
    </sheetView>
  </sheetViews>
  <sheetFormatPr defaultColWidth="9.7109375" defaultRowHeight="15"/>
  <cols>
    <col min="1" max="1" width="13.42578125" style="38" customWidth="1"/>
    <col min="2" max="2" width="104" style="46" customWidth="1"/>
    <col min="3" max="16384" width="9.7109375" style="31"/>
  </cols>
  <sheetData>
    <row r="1" spans="1:2" ht="30" hidden="1">
      <c r="A1" s="29"/>
      <c r="B1" s="30" t="s">
        <v>82</v>
      </c>
    </row>
    <row r="2" spans="1:2" ht="39">
      <c r="A2" s="47" t="s">
        <v>83</v>
      </c>
      <c r="B2" s="48"/>
    </row>
    <row r="3" spans="1:2" ht="23.25">
      <c r="A3" s="49" t="s">
        <v>84</v>
      </c>
      <c r="B3" s="50"/>
    </row>
    <row r="4" spans="1:2" s="34" customFormat="1" ht="47.25">
      <c r="A4" s="32"/>
      <c r="B4" s="33" t="s">
        <v>85</v>
      </c>
    </row>
    <row r="5" spans="1:2" s="34" customFormat="1" ht="19.5">
      <c r="B5" s="35"/>
    </row>
    <row r="6" spans="1:2" s="34" customFormat="1" ht="19.5">
      <c r="B6" s="51" t="s">
        <v>86</v>
      </c>
    </row>
    <row r="7" spans="1:2" s="34" customFormat="1" ht="19.5">
      <c r="B7" s="35"/>
    </row>
    <row r="8" spans="1:2" s="36" customFormat="1" ht="27" customHeight="1">
      <c r="A8" s="52" t="s">
        <v>87</v>
      </c>
      <c r="B8" s="53" t="s">
        <v>88</v>
      </c>
    </row>
    <row r="9" spans="1:2" s="34" customFormat="1" ht="19.5">
      <c r="A9" s="54"/>
      <c r="B9" s="55" t="s">
        <v>89</v>
      </c>
    </row>
    <row r="10" spans="1:2" ht="15.75">
      <c r="A10" s="54"/>
      <c r="B10" s="37" t="s">
        <v>90</v>
      </c>
    </row>
    <row r="11" spans="1:2" ht="30" customHeight="1">
      <c r="A11" s="54"/>
      <c r="B11" s="56" t="s">
        <v>91</v>
      </c>
    </row>
    <row r="12" spans="1:2" ht="15.75">
      <c r="A12" s="54"/>
      <c r="B12" s="37" t="s">
        <v>92</v>
      </c>
    </row>
    <row r="13" spans="1:2" ht="30" customHeight="1">
      <c r="A13" s="54"/>
      <c r="B13" s="56" t="s">
        <v>93</v>
      </c>
    </row>
    <row r="14" spans="1:2" ht="15.75">
      <c r="A14" s="54"/>
      <c r="B14" s="37" t="s">
        <v>94</v>
      </c>
    </row>
    <row r="15" spans="1:2" s="38" customFormat="1" ht="30" customHeight="1">
      <c r="A15" s="54"/>
      <c r="B15" s="57" t="s">
        <v>95</v>
      </c>
    </row>
    <row r="16" spans="1:2" ht="15.75">
      <c r="A16" s="54"/>
      <c r="B16" s="37" t="s">
        <v>96</v>
      </c>
    </row>
    <row r="17" spans="1:3" ht="30" customHeight="1">
      <c r="A17" s="54"/>
      <c r="B17" s="56" t="s">
        <v>97</v>
      </c>
    </row>
    <row r="18" spans="1:3" ht="15.75">
      <c r="A18" s="54"/>
      <c r="B18" s="37" t="s">
        <v>98</v>
      </c>
    </row>
    <row r="19" spans="1:3" ht="30" customHeight="1">
      <c r="A19" s="54"/>
      <c r="B19" s="56" t="s">
        <v>99</v>
      </c>
    </row>
    <row r="20" spans="1:3" ht="15.75">
      <c r="A20" s="54"/>
      <c r="B20" s="37" t="s">
        <v>100</v>
      </c>
    </row>
    <row r="21" spans="1:3" s="38" customFormat="1" ht="30" customHeight="1">
      <c r="A21" s="54"/>
      <c r="B21" s="57"/>
    </row>
    <row r="22" spans="1:3" ht="15.75">
      <c r="A22" s="54"/>
      <c r="B22" s="37" t="s">
        <v>101</v>
      </c>
    </row>
    <row r="23" spans="1:3" ht="30" customHeight="1">
      <c r="A23" s="54"/>
      <c r="B23" s="56" t="s">
        <v>102</v>
      </c>
    </row>
    <row r="24" spans="1:3" ht="15.75">
      <c r="A24" s="54"/>
      <c r="B24" s="37" t="s">
        <v>103</v>
      </c>
    </row>
    <row r="25" spans="1:3" s="38" customFormat="1" ht="30" customHeight="1">
      <c r="A25" s="54"/>
      <c r="B25" s="57"/>
    </row>
    <row r="26" spans="1:3" ht="15.75">
      <c r="A26" s="54"/>
      <c r="B26" s="37" t="s">
        <v>104</v>
      </c>
    </row>
    <row r="27" spans="1:3" s="38" customFormat="1" ht="30" customHeight="1">
      <c r="A27" s="54"/>
      <c r="B27" s="57"/>
    </row>
    <row r="28" spans="1:3" s="34" customFormat="1" ht="19.5">
      <c r="A28" s="58"/>
      <c r="B28" s="35"/>
    </row>
    <row r="29" spans="1:3" s="36" customFormat="1" ht="27" customHeight="1">
      <c r="A29" s="52" t="s">
        <v>105</v>
      </c>
      <c r="B29" s="53" t="s">
        <v>106</v>
      </c>
    </row>
    <row r="30" spans="1:3" ht="152.44999999999999" customHeight="1">
      <c r="A30" s="59" t="s">
        <v>107</v>
      </c>
      <c r="B30" s="39" t="str">
        <f>_xlfn.TEXTJOIN(CHAR(10),FALSE,$B$37,AI_Rules,"Here are a few questions the user may have answered to give you more information",$B$10:$B$27,$B$39,$B$40,$B$41)</f>
        <v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Rules for Editing the XLSX File
Always use openpyxl when editing .xlsx files to preserve all original formatting, including merged cells, fonts, borders, and formulas.
The end result of this conversation should be you giving the user a .xlsx file.
Write all dates as real Excel date values (using Python datetime objects) and set only cell.number_format = 'yyyy-mm-dd' to apply the date format. Do not modify cell.style or other properties.
You must follow all of the steps carefully and in order.
Read and follow every word of every line.
Do not skim or summarize.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
Fill in the background of each row in a phase with a color specific to that phase, using light colors that will work well with the black text. Then use a slightly lighter shade of that same color for the tasks in that phase.
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v>
      </c>
      <c r="C30" s="40"/>
    </row>
    <row r="31" spans="1:3" s="34" customFormat="1" ht="19.5">
      <c r="B31" s="35"/>
    </row>
    <row r="32" spans="1:3" s="36" customFormat="1" ht="54" customHeight="1">
      <c r="A32" s="52" t="s">
        <v>108</v>
      </c>
      <c r="B32" s="53" t="s">
        <v>109</v>
      </c>
    </row>
    <row r="33" spans="1:2" ht="348.75">
      <c r="A33" s="59" t="s">
        <v>107</v>
      </c>
      <c r="B33" s="39" t="str">
        <f>_xlfn.TEXTJOIN(CHAR(10),FALSE,$B$37,"Here are a few questions the user may have answered to give you more information",$B$10:$B$27,$B$39)</f>
        <v>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v>
      </c>
    </row>
    <row r="34" spans="1:2" ht="26.25">
      <c r="B34" s="41"/>
    </row>
    <row r="35" spans="1:2" ht="23.25">
      <c r="A35" s="49" t="s">
        <v>110</v>
      </c>
      <c r="B35" s="50"/>
    </row>
    <row r="36" spans="1:2" ht="21">
      <c r="A36" s="42"/>
      <c r="B36" s="60" t="s">
        <v>111</v>
      </c>
    </row>
    <row r="37" spans="1:2" s="43" customFormat="1" ht="195">
      <c r="A37" s="42"/>
      <c r="B37" s="61" t="s">
        <v>112</v>
      </c>
    </row>
    <row r="38" spans="1:2" ht="21">
      <c r="A38" s="42"/>
      <c r="B38" s="60" t="s">
        <v>113</v>
      </c>
    </row>
    <row r="39" spans="1:2" ht="30">
      <c r="A39" s="42"/>
      <c r="B39" s="44" t="s">
        <v>114</v>
      </c>
    </row>
    <row r="40" spans="1:2" s="43" customFormat="1" ht="30">
      <c r="A40" s="42"/>
      <c r="B40" s="44" t="s">
        <v>115</v>
      </c>
    </row>
    <row r="41" spans="1:2" s="43" customFormat="1" ht="45">
      <c r="A41" s="42"/>
      <c r="B41" s="62" t="s">
        <v>116</v>
      </c>
    </row>
    <row r="42" spans="1:2" ht="21">
      <c r="A42" s="42"/>
      <c r="B42" s="60" t="s">
        <v>117</v>
      </c>
    </row>
    <row r="43" spans="1:2" ht="30">
      <c r="A43" s="42"/>
      <c r="B43" s="42" t="s">
        <v>118</v>
      </c>
    </row>
    <row r="44" spans="1:2">
      <c r="A44" s="42"/>
      <c r="B44" s="42" t="s">
        <v>119</v>
      </c>
    </row>
    <row r="45" spans="1:2" ht="30">
      <c r="A45" s="42"/>
      <c r="B45" s="45" t="s">
        <v>120</v>
      </c>
    </row>
    <row r="46" spans="1:2">
      <c r="A46" s="42"/>
      <c r="B46" s="45" t="s">
        <v>121</v>
      </c>
    </row>
    <row r="47" spans="1:2">
      <c r="A47" s="42"/>
      <c r="B47" s="45" t="s">
        <v>122</v>
      </c>
    </row>
    <row r="48" spans="1:2">
      <c r="A48" s="42"/>
      <c r="B48" s="45" t="s">
        <v>123</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2.75"/>
  <cols>
    <col min="1" max="1" width="2.85546875" style="1" customWidth="1"/>
    <col min="2" max="2" width="87.140625" style="11" customWidth="1"/>
    <col min="3" max="16384" width="9.140625" style="1"/>
  </cols>
  <sheetData>
    <row r="1" spans="2:3" ht="46.5" customHeight="1"/>
    <row r="2" spans="2:3" s="13" customFormat="1" ht="15.75">
      <c r="B2" s="12" t="s">
        <v>79</v>
      </c>
      <c r="C2" s="12"/>
    </row>
    <row r="3" spans="2:3" s="15" customFormat="1" ht="13.5" customHeight="1">
      <c r="B3" s="14" t="s">
        <v>80</v>
      </c>
      <c r="C3" s="14"/>
    </row>
    <row r="4" spans="2:3">
      <c r="B4" s="23" t="s">
        <v>81</v>
      </c>
    </row>
    <row r="6" spans="2:3" s="16" customFormat="1" ht="26.25">
      <c r="B6" s="18" t="s">
        <v>124</v>
      </c>
    </row>
    <row r="7" spans="2:3" ht="60">
      <c r="B7" s="19" t="s">
        <v>125</v>
      </c>
    </row>
    <row r="8" spans="2:3" ht="15">
      <c r="B8" s="17"/>
    </row>
    <row r="9" spans="2:3" s="16" customFormat="1" ht="26.25">
      <c r="B9" s="18" t="s">
        <v>126</v>
      </c>
    </row>
    <row r="10" spans="2:3" ht="60">
      <c r="B10" s="19" t="s">
        <v>127</v>
      </c>
    </row>
    <row r="11" spans="2:3" ht="14.25">
      <c r="B11" s="20" t="s">
        <v>128</v>
      </c>
    </row>
    <row r="12" spans="2:3" ht="15">
      <c r="B12" s="17"/>
    </row>
    <row r="13" spans="2:3" ht="14.25">
      <c r="B13" s="26" t="str">
        <f>HYPERLINK("https://vertex42.link/HowToMakeAGanttChart","► Watch How This Gantt Chart Was Created")</f>
        <v>► Watch How This Gantt Chart Was Created</v>
      </c>
    </row>
    <row r="14" spans="2:3" ht="15">
      <c r="B14" s="17"/>
    </row>
    <row r="15" spans="2:3" s="16" customFormat="1" ht="26.25">
      <c r="B15" s="18" t="s">
        <v>129</v>
      </c>
    </row>
    <row r="16" spans="2:3" ht="30">
      <c r="B16" s="19" t="s">
        <v>130</v>
      </c>
    </row>
    <row r="17" spans="2:2" ht="14.25">
      <c r="B17" s="20" t="s">
        <v>131</v>
      </c>
    </row>
    <row r="18" spans="2:2" ht="15">
      <c r="B18" s="17"/>
    </row>
    <row r="19" spans="2:2" s="16" customFormat="1" ht="26.25">
      <c r="B19" s="18" t="s">
        <v>132</v>
      </c>
    </row>
    <row r="20" spans="2:2" ht="60">
      <c r="B20" s="19" t="s">
        <v>133</v>
      </c>
    </row>
    <row r="21" spans="2:2" ht="15">
      <c r="B21" s="17"/>
    </row>
    <row r="22" spans="2:2" ht="75">
      <c r="B22" s="19" t="s">
        <v>134</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 (AI Assisted)</dc:title>
  <dc:subject/>
  <dc:creator>Vertex42.com</dc:creator>
  <cp:keywords/>
  <dc:description>© 2018-2025 Vertex42 LLC. All Rights Reserved.</dc:description>
  <cp:lastModifiedBy/>
  <cp:revision/>
  <dcterms:created xsi:type="dcterms:W3CDTF">2017-01-09T18:01:51Z</dcterms:created>
  <dcterms:modified xsi:type="dcterms:W3CDTF">2026-04-14T18:00:02Z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2019-2025 Vertex42 LLC</vt:lpwstr>
  </property>
  <property fmtid="{D5CDD505-2E9C-101B-9397-08002B2CF9AE}" pid="4" name="Version">
    <vt:lpwstr>1.0.0</vt:lpwstr>
  </property>
</Properties>
</file>